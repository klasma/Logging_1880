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45827</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45827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45827</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45827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45827</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45827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45827</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45827</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45827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45827</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45827</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45827</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45827</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45827</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45827</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45827</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45827</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45827</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45827</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45827</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45827</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45827</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45827</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45827</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45827</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45827</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45827</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45827</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45827</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45827</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45827</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45827</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45827</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45827</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45827</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45827</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45827</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45827</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45827</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45827</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45827</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45827</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45827</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45827</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45827</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45827</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45827</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45827</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45827</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45827</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45827</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45827</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45827</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45827</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45827</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45827</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45827</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45827</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45827</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45827</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21722-2019</t>
        </is>
      </c>
      <c r="B62" s="1" t="n">
        <v>43581</v>
      </c>
      <c r="C62" s="1" t="n">
        <v>45827</v>
      </c>
      <c r="D62" t="inlineStr">
        <is>
          <t>ÖREBRO LÄN</t>
        </is>
      </c>
      <c r="E62" t="inlineStr">
        <is>
          <t>ÖREBRO</t>
        </is>
      </c>
      <c r="G62" t="n">
        <v>11.3</v>
      </c>
      <c r="H62" t="n">
        <v>1</v>
      </c>
      <c r="I62" t="n">
        <v>0</v>
      </c>
      <c r="J62" t="n">
        <v>0</v>
      </c>
      <c r="K62" t="n">
        <v>0</v>
      </c>
      <c r="L62" t="n">
        <v>0</v>
      </c>
      <c r="M62" t="n">
        <v>0</v>
      </c>
      <c r="N62" t="n">
        <v>0</v>
      </c>
      <c r="O62" t="n">
        <v>0</v>
      </c>
      <c r="P62" t="n">
        <v>0</v>
      </c>
      <c r="Q62" t="n">
        <v>1</v>
      </c>
      <c r="R62" s="2" t="inlineStr">
        <is>
          <t>Tjäder</t>
        </is>
      </c>
      <c r="S62">
        <f>HYPERLINK("https://klasma.github.io/Logging_1880/artfynd/A 21722-2019 artfynd.xlsx", "A 21722-2019")</f>
        <v/>
      </c>
      <c r="T62">
        <f>HYPERLINK("https://klasma.github.io/Logging_1880/kartor/A 21722-2019 karta.png", "A 21722-2019")</f>
        <v/>
      </c>
      <c r="V62">
        <f>HYPERLINK("https://klasma.github.io/Logging_1880/klagomål/A 21722-2019 FSC-klagomål.docx", "A 21722-2019")</f>
        <v/>
      </c>
      <c r="W62">
        <f>HYPERLINK("https://klasma.github.io/Logging_1880/klagomålsmail/A 21722-2019 FSC-klagomål mail.docx", "A 21722-2019")</f>
        <v/>
      </c>
      <c r="X62">
        <f>HYPERLINK("https://klasma.github.io/Logging_1880/tillsyn/A 21722-2019 tillsynsbegäran.docx", "A 21722-2019")</f>
        <v/>
      </c>
      <c r="Y62">
        <f>HYPERLINK("https://klasma.github.io/Logging_1880/tillsynsmail/A 21722-2019 tillsynsbegäran mail.docx", "A 21722-2019")</f>
        <v/>
      </c>
      <c r="Z62">
        <f>HYPERLINK("https://klasma.github.io/Logging_1880/fåglar/A 21722-2019 prioriterade fågelarter.docx", "A 21722-2019")</f>
        <v/>
      </c>
    </row>
    <row r="63" ht="15" customHeight="1">
      <c r="A63" t="inlineStr">
        <is>
          <t>A 31982-2019</t>
        </is>
      </c>
      <c r="B63" s="1" t="n">
        <v>43642</v>
      </c>
      <c r="C63" s="1" t="n">
        <v>45827</v>
      </c>
      <c r="D63" t="inlineStr">
        <is>
          <t>ÖREBRO LÄN</t>
        </is>
      </c>
      <c r="E63" t="inlineStr">
        <is>
          <t>ÖREBRO</t>
        </is>
      </c>
      <c r="F63" t="inlineStr">
        <is>
          <t>Kommuner</t>
        </is>
      </c>
      <c r="G63" t="n">
        <v>2.7</v>
      </c>
      <c r="H63" t="n">
        <v>1</v>
      </c>
      <c r="I63" t="n">
        <v>0</v>
      </c>
      <c r="J63" t="n">
        <v>1</v>
      </c>
      <c r="K63" t="n">
        <v>0</v>
      </c>
      <c r="L63" t="n">
        <v>0</v>
      </c>
      <c r="M63" t="n">
        <v>0</v>
      </c>
      <c r="N63" t="n">
        <v>0</v>
      </c>
      <c r="O63" t="n">
        <v>1</v>
      </c>
      <c r="P63" t="n">
        <v>0</v>
      </c>
      <c r="Q63" t="n">
        <v>1</v>
      </c>
      <c r="R63" s="2" t="inlineStr">
        <is>
          <t>Duvhök</t>
        </is>
      </c>
      <c r="S63">
        <f>HYPERLINK("https://klasma.github.io/Logging_1880/artfynd/A 31982-2019 artfynd.xlsx", "A 31982-2019")</f>
        <v/>
      </c>
      <c r="T63">
        <f>HYPERLINK("https://klasma.github.io/Logging_1880/kartor/A 31982-2019 karta.png", "A 31982-2019")</f>
        <v/>
      </c>
      <c r="V63">
        <f>HYPERLINK("https://klasma.github.io/Logging_1880/klagomål/A 31982-2019 FSC-klagomål.docx", "A 31982-2019")</f>
        <v/>
      </c>
      <c r="W63">
        <f>HYPERLINK("https://klasma.github.io/Logging_1880/klagomålsmail/A 31982-2019 FSC-klagomål mail.docx", "A 31982-2019")</f>
        <v/>
      </c>
      <c r="X63">
        <f>HYPERLINK("https://klasma.github.io/Logging_1880/tillsyn/A 31982-2019 tillsynsbegäran.docx", "A 31982-2019")</f>
        <v/>
      </c>
      <c r="Y63">
        <f>HYPERLINK("https://klasma.github.io/Logging_1880/tillsynsmail/A 31982-2019 tillsynsbegäran mail.docx", "A 31982-2019")</f>
        <v/>
      </c>
      <c r="Z63">
        <f>HYPERLINK("https://klasma.github.io/Logging_1880/fåglar/A 31982-2019 prioriterade fågelarter.docx", "A 31982-2019")</f>
        <v/>
      </c>
    </row>
    <row r="64" ht="15" customHeight="1">
      <c r="A64" t="inlineStr">
        <is>
          <t>A 32410-2019</t>
        </is>
      </c>
      <c r="B64" s="1" t="n">
        <v>43644</v>
      </c>
      <c r="C64" s="1" t="n">
        <v>45827</v>
      </c>
      <c r="D64" t="inlineStr">
        <is>
          <t>ÖREBRO LÄN</t>
        </is>
      </c>
      <c r="E64" t="inlineStr">
        <is>
          <t>ÖREBRO</t>
        </is>
      </c>
      <c r="G64" t="n">
        <v>1.1</v>
      </c>
      <c r="H64" t="n">
        <v>1</v>
      </c>
      <c r="I64" t="n">
        <v>0</v>
      </c>
      <c r="J64" t="n">
        <v>0</v>
      </c>
      <c r="K64" t="n">
        <v>0</v>
      </c>
      <c r="L64" t="n">
        <v>0</v>
      </c>
      <c r="M64" t="n">
        <v>0</v>
      </c>
      <c r="N64" t="n">
        <v>0</v>
      </c>
      <c r="O64" t="n">
        <v>0</v>
      </c>
      <c r="P64" t="n">
        <v>0</v>
      </c>
      <c r="Q64" t="n">
        <v>1</v>
      </c>
      <c r="R64" s="2" t="inlineStr">
        <is>
          <t>Grönsiska</t>
        </is>
      </c>
      <c r="S64">
        <f>HYPERLINK("https://klasma.github.io/Logging_1880/artfynd/A 32410-2019 artfynd.xlsx", "A 32410-2019")</f>
        <v/>
      </c>
      <c r="T64">
        <f>HYPERLINK("https://klasma.github.io/Logging_1880/kartor/A 32410-2019 karta.png", "A 32410-2019")</f>
        <v/>
      </c>
      <c r="V64">
        <f>HYPERLINK("https://klasma.github.io/Logging_1880/klagomål/A 32410-2019 FSC-klagomål.docx", "A 32410-2019")</f>
        <v/>
      </c>
      <c r="W64">
        <f>HYPERLINK("https://klasma.github.io/Logging_1880/klagomålsmail/A 32410-2019 FSC-klagomål mail.docx", "A 32410-2019")</f>
        <v/>
      </c>
      <c r="X64">
        <f>HYPERLINK("https://klasma.github.io/Logging_1880/tillsyn/A 32410-2019 tillsynsbegäran.docx", "A 32410-2019")</f>
        <v/>
      </c>
      <c r="Y64">
        <f>HYPERLINK("https://klasma.github.io/Logging_1880/tillsynsmail/A 32410-2019 tillsynsbegäran mail.docx", "A 32410-2019")</f>
        <v/>
      </c>
      <c r="Z64">
        <f>HYPERLINK("https://klasma.github.io/Logging_1880/fåglar/A 32410-2019 prioriterade fågelarter.docx", "A 32410-2019")</f>
        <v/>
      </c>
    </row>
    <row r="65" ht="15" customHeight="1">
      <c r="A65" t="inlineStr">
        <is>
          <t>A 33605-2019</t>
        </is>
      </c>
      <c r="B65" s="1" t="n">
        <v>43644</v>
      </c>
      <c r="C65" s="1" t="n">
        <v>45827</v>
      </c>
      <c r="D65" t="inlineStr">
        <is>
          <t>ÖREBRO LÄN</t>
        </is>
      </c>
      <c r="E65" t="inlineStr">
        <is>
          <t>ÖREBRO</t>
        </is>
      </c>
      <c r="F65" t="inlineStr">
        <is>
          <t>Kommuner</t>
        </is>
      </c>
      <c r="G65" t="n">
        <v>1.5</v>
      </c>
      <c r="H65" t="n">
        <v>0</v>
      </c>
      <c r="I65" t="n">
        <v>0</v>
      </c>
      <c r="J65" t="n">
        <v>1</v>
      </c>
      <c r="K65" t="n">
        <v>0</v>
      </c>
      <c r="L65" t="n">
        <v>0</v>
      </c>
      <c r="M65" t="n">
        <v>0</v>
      </c>
      <c r="N65" t="n">
        <v>0</v>
      </c>
      <c r="O65" t="n">
        <v>1</v>
      </c>
      <c r="P65" t="n">
        <v>0</v>
      </c>
      <c r="Q65" t="n">
        <v>1</v>
      </c>
      <c r="R65" s="2" t="inlineStr">
        <is>
          <t>Tallticka</t>
        </is>
      </c>
      <c r="S65">
        <f>HYPERLINK("https://klasma.github.io/Logging_1880/artfynd/A 33605-2019 artfynd.xlsx", "A 33605-2019")</f>
        <v/>
      </c>
      <c r="T65">
        <f>HYPERLINK("https://klasma.github.io/Logging_1880/kartor/A 33605-2019 karta.png", "A 33605-2019")</f>
        <v/>
      </c>
      <c r="V65">
        <f>HYPERLINK("https://klasma.github.io/Logging_1880/klagomål/A 33605-2019 FSC-klagomål.docx", "A 33605-2019")</f>
        <v/>
      </c>
      <c r="W65">
        <f>HYPERLINK("https://klasma.github.io/Logging_1880/klagomålsmail/A 33605-2019 FSC-klagomål mail.docx", "A 33605-2019")</f>
        <v/>
      </c>
      <c r="X65">
        <f>HYPERLINK("https://klasma.github.io/Logging_1880/tillsyn/A 33605-2019 tillsynsbegäran.docx", "A 33605-2019")</f>
        <v/>
      </c>
      <c r="Y65">
        <f>HYPERLINK("https://klasma.github.io/Logging_1880/tillsynsmail/A 33605-2019 tillsynsbegäran mail.docx", "A 33605-2019")</f>
        <v/>
      </c>
    </row>
    <row r="66" ht="15" customHeight="1">
      <c r="A66" t="inlineStr">
        <is>
          <t>A 41505-2019</t>
        </is>
      </c>
      <c r="B66" s="1" t="n">
        <v>43696</v>
      </c>
      <c r="C66" s="1" t="n">
        <v>45827</v>
      </c>
      <c r="D66" t="inlineStr">
        <is>
          <t>ÖREBRO LÄN</t>
        </is>
      </c>
      <c r="E66" t="inlineStr">
        <is>
          <t>ÖREBRO</t>
        </is>
      </c>
      <c r="F66" t="inlineStr">
        <is>
          <t>Kommuner</t>
        </is>
      </c>
      <c r="G66" t="n">
        <v>2.9</v>
      </c>
      <c r="H66" t="n">
        <v>0</v>
      </c>
      <c r="I66" t="n">
        <v>0</v>
      </c>
      <c r="J66" t="n">
        <v>1</v>
      </c>
      <c r="K66" t="n">
        <v>0</v>
      </c>
      <c r="L66" t="n">
        <v>0</v>
      </c>
      <c r="M66" t="n">
        <v>0</v>
      </c>
      <c r="N66" t="n">
        <v>0</v>
      </c>
      <c r="O66" t="n">
        <v>1</v>
      </c>
      <c r="P66" t="n">
        <v>0</v>
      </c>
      <c r="Q66" t="n">
        <v>1</v>
      </c>
      <c r="R66" s="2" t="inlineStr">
        <is>
          <t>Tallticka</t>
        </is>
      </c>
      <c r="S66">
        <f>HYPERLINK("https://klasma.github.io/Logging_1880/artfynd/A 41505-2019 artfynd.xlsx", "A 41505-2019")</f>
        <v/>
      </c>
      <c r="T66">
        <f>HYPERLINK("https://klasma.github.io/Logging_1880/kartor/A 41505-2019 karta.png", "A 41505-2019")</f>
        <v/>
      </c>
      <c r="V66">
        <f>HYPERLINK("https://klasma.github.io/Logging_1880/klagomål/A 41505-2019 FSC-klagomål.docx", "A 41505-2019")</f>
        <v/>
      </c>
      <c r="W66">
        <f>HYPERLINK("https://klasma.github.io/Logging_1880/klagomålsmail/A 41505-2019 FSC-klagomål mail.docx", "A 41505-2019")</f>
        <v/>
      </c>
      <c r="X66">
        <f>HYPERLINK("https://klasma.github.io/Logging_1880/tillsyn/A 41505-2019 tillsynsbegäran.docx", "A 41505-2019")</f>
        <v/>
      </c>
      <c r="Y66">
        <f>HYPERLINK("https://klasma.github.io/Logging_1880/tillsynsmail/A 41505-2019 tillsynsbegäran mail.docx", "A 41505-2019")</f>
        <v/>
      </c>
    </row>
    <row r="67" ht="15" customHeight="1">
      <c r="A67" t="inlineStr">
        <is>
          <t>A 48989-2019</t>
        </is>
      </c>
      <c r="B67" s="1" t="n">
        <v>43729</v>
      </c>
      <c r="C67" s="1" t="n">
        <v>45827</v>
      </c>
      <c r="D67" t="inlineStr">
        <is>
          <t>ÖREBRO LÄN</t>
        </is>
      </c>
      <c r="E67" t="inlineStr">
        <is>
          <t>ÖREBRO</t>
        </is>
      </c>
      <c r="G67" t="n">
        <v>3.8</v>
      </c>
      <c r="H67" t="n">
        <v>1</v>
      </c>
      <c r="I67" t="n">
        <v>0</v>
      </c>
      <c r="J67" t="n">
        <v>1</v>
      </c>
      <c r="K67" t="n">
        <v>0</v>
      </c>
      <c r="L67" t="n">
        <v>0</v>
      </c>
      <c r="M67" t="n">
        <v>0</v>
      </c>
      <c r="N67" t="n">
        <v>0</v>
      </c>
      <c r="O67" t="n">
        <v>1</v>
      </c>
      <c r="P67" t="n">
        <v>0</v>
      </c>
      <c r="Q67" t="n">
        <v>1</v>
      </c>
      <c r="R67" s="2" t="inlineStr">
        <is>
          <t>Havsörn</t>
        </is>
      </c>
      <c r="S67">
        <f>HYPERLINK("https://klasma.github.io/Logging_1880/artfynd/A 48989-2019 artfynd.xlsx", "A 48989-2019")</f>
        <v/>
      </c>
      <c r="T67">
        <f>HYPERLINK("https://klasma.github.io/Logging_1880/kartor/A 48989-2019 karta.png", "A 48989-2019")</f>
        <v/>
      </c>
      <c r="V67">
        <f>HYPERLINK("https://klasma.github.io/Logging_1880/klagomål/A 48989-2019 FSC-klagomål.docx", "A 48989-2019")</f>
        <v/>
      </c>
      <c r="W67">
        <f>HYPERLINK("https://klasma.github.io/Logging_1880/klagomålsmail/A 48989-2019 FSC-klagomål mail.docx", "A 48989-2019")</f>
        <v/>
      </c>
      <c r="X67">
        <f>HYPERLINK("https://klasma.github.io/Logging_1880/tillsyn/A 48989-2019 tillsynsbegäran.docx", "A 48989-2019")</f>
        <v/>
      </c>
      <c r="Y67">
        <f>HYPERLINK("https://klasma.github.io/Logging_1880/tillsynsmail/A 48989-2019 tillsynsbegäran mail.docx", "A 48989-2019")</f>
        <v/>
      </c>
      <c r="Z67">
        <f>HYPERLINK("https://klasma.github.io/Logging_1880/fåglar/A 48989-2019 prioriterade fågelarter.docx", "A 48989-2019")</f>
        <v/>
      </c>
    </row>
    <row r="68" ht="15" customHeight="1">
      <c r="A68" t="inlineStr">
        <is>
          <t>A 1512-2020</t>
        </is>
      </c>
      <c r="B68" s="1" t="n">
        <v>43826</v>
      </c>
      <c r="C68" s="1" t="n">
        <v>45827</v>
      </c>
      <c r="D68" t="inlineStr">
        <is>
          <t>ÖREBRO LÄN</t>
        </is>
      </c>
      <c r="E68" t="inlineStr">
        <is>
          <t>ÖREBRO</t>
        </is>
      </c>
      <c r="G68" t="n">
        <v>6</v>
      </c>
      <c r="H68" t="n">
        <v>1</v>
      </c>
      <c r="I68" t="n">
        <v>0</v>
      </c>
      <c r="J68" t="n">
        <v>0</v>
      </c>
      <c r="K68" t="n">
        <v>0</v>
      </c>
      <c r="L68" t="n">
        <v>0</v>
      </c>
      <c r="M68" t="n">
        <v>0</v>
      </c>
      <c r="N68" t="n">
        <v>0</v>
      </c>
      <c r="O68" t="n">
        <v>0</v>
      </c>
      <c r="P68" t="n">
        <v>0</v>
      </c>
      <c r="Q68" t="n">
        <v>1</v>
      </c>
      <c r="R68" s="2" t="inlineStr">
        <is>
          <t>Revlummer</t>
        </is>
      </c>
      <c r="S68">
        <f>HYPERLINK("https://klasma.github.io/Logging_1880/artfynd/A 1512-2020 artfynd.xlsx", "A 1512-2020")</f>
        <v/>
      </c>
      <c r="T68">
        <f>HYPERLINK("https://klasma.github.io/Logging_1880/kartor/A 1512-2020 karta.png", "A 1512-2020")</f>
        <v/>
      </c>
      <c r="V68">
        <f>HYPERLINK("https://klasma.github.io/Logging_1880/klagomål/A 1512-2020 FSC-klagomål.docx", "A 1512-2020")</f>
        <v/>
      </c>
      <c r="W68">
        <f>HYPERLINK("https://klasma.github.io/Logging_1880/klagomålsmail/A 1512-2020 FSC-klagomål mail.docx", "A 1512-2020")</f>
        <v/>
      </c>
      <c r="X68">
        <f>HYPERLINK("https://klasma.github.io/Logging_1880/tillsyn/A 1512-2020 tillsynsbegäran.docx", "A 1512-2020")</f>
        <v/>
      </c>
      <c r="Y68">
        <f>HYPERLINK("https://klasma.github.io/Logging_1880/tillsynsmail/A 1512-2020 tillsynsbegäran mail.docx", "A 1512-2020")</f>
        <v/>
      </c>
    </row>
    <row r="69" ht="15" customHeight="1">
      <c r="A69" t="inlineStr">
        <is>
          <t>A 2697-2020</t>
        </is>
      </c>
      <c r="B69" s="1" t="n">
        <v>43843</v>
      </c>
      <c r="C69" s="1" t="n">
        <v>45827</v>
      </c>
      <c r="D69" t="inlineStr">
        <is>
          <t>ÖREBRO LÄN</t>
        </is>
      </c>
      <c r="E69" t="inlineStr">
        <is>
          <t>ÖREBRO</t>
        </is>
      </c>
      <c r="G69" t="n">
        <v>5</v>
      </c>
      <c r="H69" t="n">
        <v>0</v>
      </c>
      <c r="I69" t="n">
        <v>1</v>
      </c>
      <c r="J69" t="n">
        <v>0</v>
      </c>
      <c r="K69" t="n">
        <v>0</v>
      </c>
      <c r="L69" t="n">
        <v>0</v>
      </c>
      <c r="M69" t="n">
        <v>0</v>
      </c>
      <c r="N69" t="n">
        <v>0</v>
      </c>
      <c r="O69" t="n">
        <v>0</v>
      </c>
      <c r="P69" t="n">
        <v>0</v>
      </c>
      <c r="Q69" t="n">
        <v>1</v>
      </c>
      <c r="R69" s="2" t="inlineStr">
        <is>
          <t>Springkorn</t>
        </is>
      </c>
      <c r="S69">
        <f>HYPERLINK("https://klasma.github.io/Logging_1880/artfynd/A 2697-2020 artfynd.xlsx", "A 2697-2020")</f>
        <v/>
      </c>
      <c r="T69">
        <f>HYPERLINK("https://klasma.github.io/Logging_1880/kartor/A 2697-2020 karta.png", "A 2697-2020")</f>
        <v/>
      </c>
      <c r="V69">
        <f>HYPERLINK("https://klasma.github.io/Logging_1880/klagomål/A 2697-2020 FSC-klagomål.docx", "A 2697-2020")</f>
        <v/>
      </c>
      <c r="W69">
        <f>HYPERLINK("https://klasma.github.io/Logging_1880/klagomålsmail/A 2697-2020 FSC-klagomål mail.docx", "A 2697-2020")</f>
        <v/>
      </c>
      <c r="X69">
        <f>HYPERLINK("https://klasma.github.io/Logging_1880/tillsyn/A 2697-2020 tillsynsbegäran.docx", "A 2697-2020")</f>
        <v/>
      </c>
      <c r="Y69">
        <f>HYPERLINK("https://klasma.github.io/Logging_1880/tillsynsmail/A 2697-2020 tillsynsbegäran mail.docx", "A 2697-2020")</f>
        <v/>
      </c>
    </row>
    <row r="70" ht="15" customHeight="1">
      <c r="A70" t="inlineStr">
        <is>
          <t>A 1571-2020</t>
        </is>
      </c>
      <c r="B70" s="1" t="n">
        <v>43844</v>
      </c>
      <c r="C70" s="1" t="n">
        <v>45827</v>
      </c>
      <c r="D70" t="inlineStr">
        <is>
          <t>ÖREBRO LÄN</t>
        </is>
      </c>
      <c r="E70" t="inlineStr">
        <is>
          <t>ÖREBRO</t>
        </is>
      </c>
      <c r="G70" t="n">
        <v>2</v>
      </c>
      <c r="H70" t="n">
        <v>0</v>
      </c>
      <c r="I70" t="n">
        <v>0</v>
      </c>
      <c r="J70" t="n">
        <v>1</v>
      </c>
      <c r="K70" t="n">
        <v>0</v>
      </c>
      <c r="L70" t="n">
        <v>0</v>
      </c>
      <c r="M70" t="n">
        <v>0</v>
      </c>
      <c r="N70" t="n">
        <v>0</v>
      </c>
      <c r="O70" t="n">
        <v>1</v>
      </c>
      <c r="P70" t="n">
        <v>0</v>
      </c>
      <c r="Q70" t="n">
        <v>1</v>
      </c>
      <c r="R70" s="2" t="inlineStr">
        <is>
          <t>Ullticka</t>
        </is>
      </c>
      <c r="S70">
        <f>HYPERLINK("https://klasma.github.io/Logging_1880/artfynd/A 1571-2020 artfynd.xlsx", "A 1571-2020")</f>
        <v/>
      </c>
      <c r="T70">
        <f>HYPERLINK("https://klasma.github.io/Logging_1880/kartor/A 1571-2020 karta.png", "A 1571-2020")</f>
        <v/>
      </c>
      <c r="V70">
        <f>HYPERLINK("https://klasma.github.io/Logging_1880/klagomål/A 1571-2020 FSC-klagomål.docx", "A 1571-2020")</f>
        <v/>
      </c>
      <c r="W70">
        <f>HYPERLINK("https://klasma.github.io/Logging_1880/klagomålsmail/A 1571-2020 FSC-klagomål mail.docx", "A 1571-2020")</f>
        <v/>
      </c>
      <c r="X70">
        <f>HYPERLINK("https://klasma.github.io/Logging_1880/tillsyn/A 1571-2020 tillsynsbegäran.docx", "A 1571-2020")</f>
        <v/>
      </c>
      <c r="Y70">
        <f>HYPERLINK("https://klasma.github.io/Logging_1880/tillsynsmail/A 1571-2020 tillsynsbegäran mail.docx", "A 1571-2020")</f>
        <v/>
      </c>
    </row>
    <row r="71" ht="15" customHeight="1">
      <c r="A71" t="inlineStr">
        <is>
          <t>A 13831-2020</t>
        </is>
      </c>
      <c r="B71" s="1" t="n">
        <v>43905</v>
      </c>
      <c r="C71" s="1" t="n">
        <v>45827</v>
      </c>
      <c r="D71" t="inlineStr">
        <is>
          <t>ÖREBRO LÄN</t>
        </is>
      </c>
      <c r="E71" t="inlineStr">
        <is>
          <t>ÖREBRO</t>
        </is>
      </c>
      <c r="G71" t="n">
        <v>7.5</v>
      </c>
      <c r="H71" t="n">
        <v>0</v>
      </c>
      <c r="I71" t="n">
        <v>1</v>
      </c>
      <c r="J71" t="n">
        <v>0</v>
      </c>
      <c r="K71" t="n">
        <v>0</v>
      </c>
      <c r="L71" t="n">
        <v>0</v>
      </c>
      <c r="M71" t="n">
        <v>0</v>
      </c>
      <c r="N71" t="n">
        <v>0</v>
      </c>
      <c r="O71" t="n">
        <v>0</v>
      </c>
      <c r="P71" t="n">
        <v>0</v>
      </c>
      <c r="Q71" t="n">
        <v>1</v>
      </c>
      <c r="R71" s="2" t="inlineStr">
        <is>
          <t>Vätteros</t>
        </is>
      </c>
      <c r="S71">
        <f>HYPERLINK("https://klasma.github.io/Logging_1880/artfynd/A 13831-2020 artfynd.xlsx", "A 13831-2020")</f>
        <v/>
      </c>
      <c r="T71">
        <f>HYPERLINK("https://klasma.github.io/Logging_1880/kartor/A 13831-2020 karta.png", "A 13831-2020")</f>
        <v/>
      </c>
      <c r="V71">
        <f>HYPERLINK("https://klasma.github.io/Logging_1880/klagomål/A 13831-2020 FSC-klagomål.docx", "A 13831-2020")</f>
        <v/>
      </c>
      <c r="W71">
        <f>HYPERLINK("https://klasma.github.io/Logging_1880/klagomålsmail/A 13831-2020 FSC-klagomål mail.docx", "A 13831-2020")</f>
        <v/>
      </c>
      <c r="X71">
        <f>HYPERLINK("https://klasma.github.io/Logging_1880/tillsyn/A 13831-2020 tillsynsbegäran.docx", "A 13831-2020")</f>
        <v/>
      </c>
      <c r="Y71">
        <f>HYPERLINK("https://klasma.github.io/Logging_1880/tillsynsmail/A 13831-2020 tillsynsbegäran mail.docx", "A 13831-2020")</f>
        <v/>
      </c>
    </row>
    <row r="72" ht="15" customHeight="1">
      <c r="A72" t="inlineStr">
        <is>
          <t>A 25192-2020</t>
        </is>
      </c>
      <c r="B72" s="1" t="n">
        <v>43980</v>
      </c>
      <c r="C72" s="1" t="n">
        <v>45827</v>
      </c>
      <c r="D72" t="inlineStr">
        <is>
          <t>ÖREBRO LÄN</t>
        </is>
      </c>
      <c r="E72" t="inlineStr">
        <is>
          <t>ÖREBRO</t>
        </is>
      </c>
      <c r="F72" t="inlineStr">
        <is>
          <t>Övriga Aktiebolag</t>
        </is>
      </c>
      <c r="G72" t="n">
        <v>1.5</v>
      </c>
      <c r="H72" t="n">
        <v>1</v>
      </c>
      <c r="I72" t="n">
        <v>1</v>
      </c>
      <c r="J72" t="n">
        <v>0</v>
      </c>
      <c r="K72" t="n">
        <v>0</v>
      </c>
      <c r="L72" t="n">
        <v>0</v>
      </c>
      <c r="M72" t="n">
        <v>0</v>
      </c>
      <c r="N72" t="n">
        <v>0</v>
      </c>
      <c r="O72" t="n">
        <v>0</v>
      </c>
      <c r="P72" t="n">
        <v>0</v>
      </c>
      <c r="Q72" t="n">
        <v>1</v>
      </c>
      <c r="R72" s="2" t="inlineStr">
        <is>
          <t>Spindelblomster</t>
        </is>
      </c>
      <c r="S72">
        <f>HYPERLINK("https://klasma.github.io/Logging_1880/artfynd/A 25192-2020 artfynd.xlsx", "A 25192-2020")</f>
        <v/>
      </c>
      <c r="T72">
        <f>HYPERLINK("https://klasma.github.io/Logging_1880/kartor/A 25192-2020 karta.png", "A 25192-2020")</f>
        <v/>
      </c>
      <c r="V72">
        <f>HYPERLINK("https://klasma.github.io/Logging_1880/klagomål/A 25192-2020 FSC-klagomål.docx", "A 25192-2020")</f>
        <v/>
      </c>
      <c r="W72">
        <f>HYPERLINK("https://klasma.github.io/Logging_1880/klagomålsmail/A 25192-2020 FSC-klagomål mail.docx", "A 25192-2020")</f>
        <v/>
      </c>
      <c r="X72">
        <f>HYPERLINK("https://klasma.github.io/Logging_1880/tillsyn/A 25192-2020 tillsynsbegäran.docx", "A 25192-2020")</f>
        <v/>
      </c>
      <c r="Y72">
        <f>HYPERLINK("https://klasma.github.io/Logging_1880/tillsynsmail/A 25192-2020 tillsynsbegäran mail.docx", "A 25192-2020")</f>
        <v/>
      </c>
    </row>
    <row r="73" ht="15" customHeight="1">
      <c r="A73" t="inlineStr">
        <is>
          <t>A 26426-2020</t>
        </is>
      </c>
      <c r="B73" s="1" t="n">
        <v>43986</v>
      </c>
      <c r="C73" s="1" t="n">
        <v>45827</v>
      </c>
      <c r="D73" t="inlineStr">
        <is>
          <t>ÖREBRO LÄN</t>
        </is>
      </c>
      <c r="E73" t="inlineStr">
        <is>
          <t>ÖREBRO</t>
        </is>
      </c>
      <c r="G73" t="n">
        <v>1</v>
      </c>
      <c r="H73" t="n">
        <v>0</v>
      </c>
      <c r="I73" t="n">
        <v>0</v>
      </c>
      <c r="J73" t="n">
        <v>0</v>
      </c>
      <c r="K73" t="n">
        <v>1</v>
      </c>
      <c r="L73" t="n">
        <v>0</v>
      </c>
      <c r="M73" t="n">
        <v>0</v>
      </c>
      <c r="N73" t="n">
        <v>0</v>
      </c>
      <c r="O73" t="n">
        <v>1</v>
      </c>
      <c r="P73" t="n">
        <v>1</v>
      </c>
      <c r="Q73" t="n">
        <v>1</v>
      </c>
      <c r="R73" s="2" t="inlineStr">
        <is>
          <t>Slöjröksvamp</t>
        </is>
      </c>
      <c r="S73">
        <f>HYPERLINK("https://klasma.github.io/Logging_1880/artfynd/A 26426-2020 artfynd.xlsx", "A 26426-2020")</f>
        <v/>
      </c>
      <c r="T73">
        <f>HYPERLINK("https://klasma.github.io/Logging_1880/kartor/A 26426-2020 karta.png", "A 26426-2020")</f>
        <v/>
      </c>
      <c r="V73">
        <f>HYPERLINK("https://klasma.github.io/Logging_1880/klagomål/A 26426-2020 FSC-klagomål.docx", "A 26426-2020")</f>
        <v/>
      </c>
      <c r="W73">
        <f>HYPERLINK("https://klasma.github.io/Logging_1880/klagomålsmail/A 26426-2020 FSC-klagomål mail.docx", "A 26426-2020")</f>
        <v/>
      </c>
      <c r="X73">
        <f>HYPERLINK("https://klasma.github.io/Logging_1880/tillsyn/A 26426-2020 tillsynsbegäran.docx", "A 26426-2020")</f>
        <v/>
      </c>
      <c r="Y73">
        <f>HYPERLINK("https://klasma.github.io/Logging_1880/tillsynsmail/A 26426-2020 tillsynsbegäran mail.docx", "A 26426-2020")</f>
        <v/>
      </c>
    </row>
    <row r="74" ht="15" customHeight="1">
      <c r="A74" t="inlineStr">
        <is>
          <t>A 28103-2020</t>
        </is>
      </c>
      <c r="B74" s="1" t="n">
        <v>43997</v>
      </c>
      <c r="C74" s="1" t="n">
        <v>45827</v>
      </c>
      <c r="D74" t="inlineStr">
        <is>
          <t>ÖREBRO LÄN</t>
        </is>
      </c>
      <c r="E74" t="inlineStr">
        <is>
          <t>ÖREBRO</t>
        </is>
      </c>
      <c r="G74" t="n">
        <v>1.6</v>
      </c>
      <c r="H74" t="n">
        <v>1</v>
      </c>
      <c r="I74" t="n">
        <v>0</v>
      </c>
      <c r="J74" t="n">
        <v>0</v>
      </c>
      <c r="K74" t="n">
        <v>1</v>
      </c>
      <c r="L74" t="n">
        <v>0</v>
      </c>
      <c r="M74" t="n">
        <v>0</v>
      </c>
      <c r="N74" t="n">
        <v>0</v>
      </c>
      <c r="O74" t="n">
        <v>1</v>
      </c>
      <c r="P74" t="n">
        <v>1</v>
      </c>
      <c r="Q74" t="n">
        <v>1</v>
      </c>
      <c r="R74" s="2" t="inlineStr">
        <is>
          <t>Knärot</t>
        </is>
      </c>
      <c r="S74">
        <f>HYPERLINK("https://klasma.github.io/Logging_1880/artfynd/A 28103-2020 artfynd.xlsx", "A 28103-2020")</f>
        <v/>
      </c>
      <c r="T74">
        <f>HYPERLINK("https://klasma.github.io/Logging_1880/kartor/A 28103-2020 karta.png", "A 28103-2020")</f>
        <v/>
      </c>
      <c r="U74">
        <f>HYPERLINK("https://klasma.github.io/Logging_1880/knärot/A 28103-2020 karta knärot.png", "A 28103-2020")</f>
        <v/>
      </c>
      <c r="V74">
        <f>HYPERLINK("https://klasma.github.io/Logging_1880/klagomål/A 28103-2020 FSC-klagomål.docx", "A 28103-2020")</f>
        <v/>
      </c>
      <c r="W74">
        <f>HYPERLINK("https://klasma.github.io/Logging_1880/klagomålsmail/A 28103-2020 FSC-klagomål mail.docx", "A 28103-2020")</f>
        <v/>
      </c>
      <c r="X74">
        <f>HYPERLINK("https://klasma.github.io/Logging_1880/tillsyn/A 28103-2020 tillsynsbegäran.docx", "A 28103-2020")</f>
        <v/>
      </c>
      <c r="Y74">
        <f>HYPERLINK("https://klasma.github.io/Logging_1880/tillsynsmail/A 28103-2020 tillsynsbegäran mail.docx", "A 28103-2020")</f>
        <v/>
      </c>
    </row>
    <row r="75" ht="15" customHeight="1">
      <c r="A75" t="inlineStr">
        <is>
          <t>A 28710-2020</t>
        </is>
      </c>
      <c r="B75" s="1" t="n">
        <v>43998</v>
      </c>
      <c r="C75" s="1" t="n">
        <v>45827</v>
      </c>
      <c r="D75" t="inlineStr">
        <is>
          <t>ÖREBRO LÄN</t>
        </is>
      </c>
      <c r="E75" t="inlineStr">
        <is>
          <t>ÖREBRO</t>
        </is>
      </c>
      <c r="F75" t="inlineStr">
        <is>
          <t>Kommuner</t>
        </is>
      </c>
      <c r="G75" t="n">
        <v>1</v>
      </c>
      <c r="H75" t="n">
        <v>0</v>
      </c>
      <c r="I75" t="n">
        <v>0</v>
      </c>
      <c r="J75" t="n">
        <v>1</v>
      </c>
      <c r="K75" t="n">
        <v>0</v>
      </c>
      <c r="L75" t="n">
        <v>0</v>
      </c>
      <c r="M75" t="n">
        <v>0</v>
      </c>
      <c r="N75" t="n">
        <v>0</v>
      </c>
      <c r="O75" t="n">
        <v>1</v>
      </c>
      <c r="P75" t="n">
        <v>0</v>
      </c>
      <c r="Q75" t="n">
        <v>1</v>
      </c>
      <c r="R75" s="2" t="inlineStr">
        <is>
          <t>Ullticka</t>
        </is>
      </c>
      <c r="S75">
        <f>HYPERLINK("https://klasma.github.io/Logging_1880/artfynd/A 28710-2020 artfynd.xlsx", "A 28710-2020")</f>
        <v/>
      </c>
      <c r="T75">
        <f>HYPERLINK("https://klasma.github.io/Logging_1880/kartor/A 28710-2020 karta.png", "A 28710-2020")</f>
        <v/>
      </c>
      <c r="V75">
        <f>HYPERLINK("https://klasma.github.io/Logging_1880/klagomål/A 28710-2020 FSC-klagomål.docx", "A 28710-2020")</f>
        <v/>
      </c>
      <c r="W75">
        <f>HYPERLINK("https://klasma.github.io/Logging_1880/klagomålsmail/A 28710-2020 FSC-klagomål mail.docx", "A 28710-2020")</f>
        <v/>
      </c>
      <c r="X75">
        <f>HYPERLINK("https://klasma.github.io/Logging_1880/tillsyn/A 28710-2020 tillsynsbegäran.docx", "A 28710-2020")</f>
        <v/>
      </c>
      <c r="Y75">
        <f>HYPERLINK("https://klasma.github.io/Logging_1880/tillsynsmail/A 28710-2020 tillsynsbegäran mail.docx", "A 28710-2020")</f>
        <v/>
      </c>
    </row>
    <row r="76" ht="15" customHeight="1">
      <c r="A76" t="inlineStr">
        <is>
          <t>A 29454-2020</t>
        </is>
      </c>
      <c r="B76" s="1" t="n">
        <v>44004</v>
      </c>
      <c r="C76" s="1" t="n">
        <v>45827</v>
      </c>
      <c r="D76" t="inlineStr">
        <is>
          <t>ÖREBRO LÄN</t>
        </is>
      </c>
      <c r="E76" t="inlineStr">
        <is>
          <t>ÖREBRO</t>
        </is>
      </c>
      <c r="G76" t="n">
        <v>5</v>
      </c>
      <c r="H76" t="n">
        <v>0</v>
      </c>
      <c r="I76" t="n">
        <v>0</v>
      </c>
      <c r="J76" t="n">
        <v>1</v>
      </c>
      <c r="K76" t="n">
        <v>0</v>
      </c>
      <c r="L76" t="n">
        <v>0</v>
      </c>
      <c r="M76" t="n">
        <v>0</v>
      </c>
      <c r="N76" t="n">
        <v>0</v>
      </c>
      <c r="O76" t="n">
        <v>1</v>
      </c>
      <c r="P76" t="n">
        <v>0</v>
      </c>
      <c r="Q76" t="n">
        <v>1</v>
      </c>
      <c r="R76" s="2" t="inlineStr">
        <is>
          <t>Stornopping</t>
        </is>
      </c>
      <c r="S76">
        <f>HYPERLINK("https://klasma.github.io/Logging_1880/artfynd/A 29454-2020 artfynd.xlsx", "A 29454-2020")</f>
        <v/>
      </c>
      <c r="T76">
        <f>HYPERLINK("https://klasma.github.io/Logging_1880/kartor/A 29454-2020 karta.png", "A 29454-2020")</f>
        <v/>
      </c>
      <c r="V76">
        <f>HYPERLINK("https://klasma.github.io/Logging_1880/klagomål/A 29454-2020 FSC-klagomål.docx", "A 29454-2020")</f>
        <v/>
      </c>
      <c r="W76">
        <f>HYPERLINK("https://klasma.github.io/Logging_1880/klagomålsmail/A 29454-2020 FSC-klagomål mail.docx", "A 29454-2020")</f>
        <v/>
      </c>
      <c r="X76">
        <f>HYPERLINK("https://klasma.github.io/Logging_1880/tillsyn/A 29454-2020 tillsynsbegäran.docx", "A 29454-2020")</f>
        <v/>
      </c>
      <c r="Y76">
        <f>HYPERLINK("https://klasma.github.io/Logging_1880/tillsynsmail/A 29454-2020 tillsynsbegäran mail.docx", "A 29454-2020")</f>
        <v/>
      </c>
    </row>
    <row r="77" ht="15" customHeight="1">
      <c r="A77" t="inlineStr">
        <is>
          <t>A 58966-2020</t>
        </is>
      </c>
      <c r="B77" s="1" t="n">
        <v>44146</v>
      </c>
      <c r="C77" s="1" t="n">
        <v>45827</v>
      </c>
      <c r="D77" t="inlineStr">
        <is>
          <t>ÖREBRO LÄN</t>
        </is>
      </c>
      <c r="E77" t="inlineStr">
        <is>
          <t>ÖREBRO</t>
        </is>
      </c>
      <c r="F77" t="inlineStr">
        <is>
          <t>Övriga Aktiebolag</t>
        </is>
      </c>
      <c r="G77" t="n">
        <v>1.2</v>
      </c>
      <c r="H77" t="n">
        <v>1</v>
      </c>
      <c r="I77" t="n">
        <v>0</v>
      </c>
      <c r="J77" t="n">
        <v>1</v>
      </c>
      <c r="K77" t="n">
        <v>0</v>
      </c>
      <c r="L77" t="n">
        <v>0</v>
      </c>
      <c r="M77" t="n">
        <v>0</v>
      </c>
      <c r="N77" t="n">
        <v>0</v>
      </c>
      <c r="O77" t="n">
        <v>1</v>
      </c>
      <c r="P77" t="n">
        <v>0</v>
      </c>
      <c r="Q77" t="n">
        <v>1</v>
      </c>
      <c r="R77" s="2" t="inlineStr">
        <is>
          <t>Kråka</t>
        </is>
      </c>
      <c r="S77">
        <f>HYPERLINK("https://klasma.github.io/Logging_1880/artfynd/A 58966-2020 artfynd.xlsx", "A 58966-2020")</f>
        <v/>
      </c>
      <c r="T77">
        <f>HYPERLINK("https://klasma.github.io/Logging_1880/kartor/A 58966-2020 karta.png", "A 58966-2020")</f>
        <v/>
      </c>
      <c r="V77">
        <f>HYPERLINK("https://klasma.github.io/Logging_1880/klagomål/A 58966-2020 FSC-klagomål.docx", "A 58966-2020")</f>
        <v/>
      </c>
      <c r="W77">
        <f>HYPERLINK("https://klasma.github.io/Logging_1880/klagomålsmail/A 58966-2020 FSC-klagomål mail.docx", "A 58966-2020")</f>
        <v/>
      </c>
      <c r="X77">
        <f>HYPERLINK("https://klasma.github.io/Logging_1880/tillsyn/A 58966-2020 tillsynsbegäran.docx", "A 58966-2020")</f>
        <v/>
      </c>
      <c r="Y77">
        <f>HYPERLINK("https://klasma.github.io/Logging_1880/tillsynsmail/A 58966-2020 tillsynsbegäran mail.docx", "A 58966-2020")</f>
        <v/>
      </c>
      <c r="Z77">
        <f>HYPERLINK("https://klasma.github.io/Logging_1880/fåglar/A 58966-2020 prioriterade fågelarter.docx", "A 58966-2020")</f>
        <v/>
      </c>
    </row>
    <row r="78" ht="15" customHeight="1">
      <c r="A78" t="inlineStr">
        <is>
          <t>A 4014-2021</t>
        </is>
      </c>
      <c r="B78" s="1" t="n">
        <v>44218</v>
      </c>
      <c r="C78" s="1" t="n">
        <v>45827</v>
      </c>
      <c r="D78" t="inlineStr">
        <is>
          <t>ÖREBRO LÄN</t>
        </is>
      </c>
      <c r="E78" t="inlineStr">
        <is>
          <t>ÖREBRO</t>
        </is>
      </c>
      <c r="G78" t="n">
        <v>10.5</v>
      </c>
      <c r="H78" t="n">
        <v>0</v>
      </c>
      <c r="I78" t="n">
        <v>1</v>
      </c>
      <c r="J78" t="n">
        <v>0</v>
      </c>
      <c r="K78" t="n">
        <v>0</v>
      </c>
      <c r="L78" t="n">
        <v>0</v>
      </c>
      <c r="M78" t="n">
        <v>0</v>
      </c>
      <c r="N78" t="n">
        <v>0</v>
      </c>
      <c r="O78" t="n">
        <v>0</v>
      </c>
      <c r="P78" t="n">
        <v>0</v>
      </c>
      <c r="Q78" t="n">
        <v>1</v>
      </c>
      <c r="R78" s="2" t="inlineStr">
        <is>
          <t>Springkorn</t>
        </is>
      </c>
      <c r="S78">
        <f>HYPERLINK("https://klasma.github.io/Logging_1880/artfynd/A 4014-2021 artfynd.xlsx", "A 4014-2021")</f>
        <v/>
      </c>
      <c r="T78">
        <f>HYPERLINK("https://klasma.github.io/Logging_1880/kartor/A 4014-2021 karta.png", "A 4014-2021")</f>
        <v/>
      </c>
      <c r="V78">
        <f>HYPERLINK("https://klasma.github.io/Logging_1880/klagomål/A 4014-2021 FSC-klagomål.docx", "A 4014-2021")</f>
        <v/>
      </c>
      <c r="W78">
        <f>HYPERLINK("https://klasma.github.io/Logging_1880/klagomålsmail/A 4014-2021 FSC-klagomål mail.docx", "A 4014-2021")</f>
        <v/>
      </c>
      <c r="X78">
        <f>HYPERLINK("https://klasma.github.io/Logging_1880/tillsyn/A 4014-2021 tillsynsbegäran.docx", "A 4014-2021")</f>
        <v/>
      </c>
      <c r="Y78">
        <f>HYPERLINK("https://klasma.github.io/Logging_1880/tillsynsmail/A 4014-2021 tillsynsbegäran mail.docx", "A 4014-2021")</f>
        <v/>
      </c>
    </row>
    <row r="79" ht="15" customHeight="1">
      <c r="A79" t="inlineStr">
        <is>
          <t>A 6926-2021</t>
        </is>
      </c>
      <c r="B79" s="1" t="n">
        <v>44237</v>
      </c>
      <c r="C79" s="1" t="n">
        <v>45827</v>
      </c>
      <c r="D79" t="inlineStr">
        <is>
          <t>ÖREBRO LÄN</t>
        </is>
      </c>
      <c r="E79" t="inlineStr">
        <is>
          <t>ÖREBRO</t>
        </is>
      </c>
      <c r="G79" t="n">
        <v>0.9</v>
      </c>
      <c r="H79" t="n">
        <v>1</v>
      </c>
      <c r="I79" t="n">
        <v>1</v>
      </c>
      <c r="J79" t="n">
        <v>0</v>
      </c>
      <c r="K79" t="n">
        <v>0</v>
      </c>
      <c r="L79" t="n">
        <v>0</v>
      </c>
      <c r="M79" t="n">
        <v>0</v>
      </c>
      <c r="N79" t="n">
        <v>0</v>
      </c>
      <c r="O79" t="n">
        <v>0</v>
      </c>
      <c r="P79" t="n">
        <v>0</v>
      </c>
      <c r="Q79" t="n">
        <v>1</v>
      </c>
      <c r="R79" s="2" t="inlineStr">
        <is>
          <t>Skogsknipprot</t>
        </is>
      </c>
      <c r="S79">
        <f>HYPERLINK("https://klasma.github.io/Logging_1880/artfynd/A 6926-2021 artfynd.xlsx", "A 6926-2021")</f>
        <v/>
      </c>
      <c r="T79">
        <f>HYPERLINK("https://klasma.github.io/Logging_1880/kartor/A 6926-2021 karta.png", "A 6926-2021")</f>
        <v/>
      </c>
      <c r="V79">
        <f>HYPERLINK("https://klasma.github.io/Logging_1880/klagomål/A 6926-2021 FSC-klagomål.docx", "A 6926-2021")</f>
        <v/>
      </c>
      <c r="W79">
        <f>HYPERLINK("https://klasma.github.io/Logging_1880/klagomålsmail/A 6926-2021 FSC-klagomål mail.docx", "A 6926-2021")</f>
        <v/>
      </c>
      <c r="X79">
        <f>HYPERLINK("https://klasma.github.io/Logging_1880/tillsyn/A 6926-2021 tillsynsbegäran.docx", "A 6926-2021")</f>
        <v/>
      </c>
      <c r="Y79">
        <f>HYPERLINK("https://klasma.github.io/Logging_1880/tillsynsmail/A 6926-2021 tillsynsbegäran mail.docx", "A 6926-2021")</f>
        <v/>
      </c>
    </row>
    <row r="80" ht="15" customHeight="1">
      <c r="A80" t="inlineStr">
        <is>
          <t>A 8256-2021</t>
        </is>
      </c>
      <c r="B80" s="1" t="n">
        <v>44244</v>
      </c>
      <c r="C80" s="1" t="n">
        <v>45827</v>
      </c>
      <c r="D80" t="inlineStr">
        <is>
          <t>ÖREBRO LÄN</t>
        </is>
      </c>
      <c r="E80" t="inlineStr">
        <is>
          <t>ÖREBRO</t>
        </is>
      </c>
      <c r="G80" t="n">
        <v>1</v>
      </c>
      <c r="H80" t="n">
        <v>0</v>
      </c>
      <c r="I80" t="n">
        <v>1</v>
      </c>
      <c r="J80" t="n">
        <v>0</v>
      </c>
      <c r="K80" t="n">
        <v>0</v>
      </c>
      <c r="L80" t="n">
        <v>0</v>
      </c>
      <c r="M80" t="n">
        <v>0</v>
      </c>
      <c r="N80" t="n">
        <v>0</v>
      </c>
      <c r="O80" t="n">
        <v>0</v>
      </c>
      <c r="P80" t="n">
        <v>0</v>
      </c>
      <c r="Q80" t="n">
        <v>1</v>
      </c>
      <c r="R80" s="2" t="inlineStr">
        <is>
          <t>Svart trolldruva</t>
        </is>
      </c>
      <c r="S80">
        <f>HYPERLINK("https://klasma.github.io/Logging_1880/artfynd/A 8256-2021 artfynd.xlsx", "A 8256-2021")</f>
        <v/>
      </c>
      <c r="T80">
        <f>HYPERLINK("https://klasma.github.io/Logging_1880/kartor/A 8256-2021 karta.png", "A 8256-2021")</f>
        <v/>
      </c>
      <c r="V80">
        <f>HYPERLINK("https://klasma.github.io/Logging_1880/klagomål/A 8256-2021 FSC-klagomål.docx", "A 8256-2021")</f>
        <v/>
      </c>
      <c r="W80">
        <f>HYPERLINK("https://klasma.github.io/Logging_1880/klagomålsmail/A 8256-2021 FSC-klagomål mail.docx", "A 8256-2021")</f>
        <v/>
      </c>
      <c r="X80">
        <f>HYPERLINK("https://klasma.github.io/Logging_1880/tillsyn/A 8256-2021 tillsynsbegäran.docx", "A 8256-2021")</f>
        <v/>
      </c>
      <c r="Y80">
        <f>HYPERLINK("https://klasma.github.io/Logging_1880/tillsynsmail/A 8256-2021 tillsynsbegäran mail.docx", "A 8256-2021")</f>
        <v/>
      </c>
    </row>
    <row r="81" ht="15" customHeight="1">
      <c r="A81" t="inlineStr">
        <is>
          <t>A 8577-2021</t>
        </is>
      </c>
      <c r="B81" s="1" t="n">
        <v>44245</v>
      </c>
      <c r="C81" s="1" t="n">
        <v>45827</v>
      </c>
      <c r="D81" t="inlineStr">
        <is>
          <t>ÖREBRO LÄN</t>
        </is>
      </c>
      <c r="E81" t="inlineStr">
        <is>
          <t>ÖREBRO</t>
        </is>
      </c>
      <c r="G81" t="n">
        <v>6.5</v>
      </c>
      <c r="H81" t="n">
        <v>0</v>
      </c>
      <c r="I81" t="n">
        <v>1</v>
      </c>
      <c r="J81" t="n">
        <v>0</v>
      </c>
      <c r="K81" t="n">
        <v>0</v>
      </c>
      <c r="L81" t="n">
        <v>0</v>
      </c>
      <c r="M81" t="n">
        <v>0</v>
      </c>
      <c r="N81" t="n">
        <v>0</v>
      </c>
      <c r="O81" t="n">
        <v>0</v>
      </c>
      <c r="P81" t="n">
        <v>0</v>
      </c>
      <c r="Q81" t="n">
        <v>1</v>
      </c>
      <c r="R81" s="2" t="inlineStr">
        <is>
          <t>Spädstarr</t>
        </is>
      </c>
      <c r="S81">
        <f>HYPERLINK("https://klasma.github.io/Logging_1880/artfynd/A 8577-2021 artfynd.xlsx", "A 8577-2021")</f>
        <v/>
      </c>
      <c r="T81">
        <f>HYPERLINK("https://klasma.github.io/Logging_1880/kartor/A 8577-2021 karta.png", "A 8577-2021")</f>
        <v/>
      </c>
      <c r="V81">
        <f>HYPERLINK("https://klasma.github.io/Logging_1880/klagomål/A 8577-2021 FSC-klagomål.docx", "A 8577-2021")</f>
        <v/>
      </c>
      <c r="W81">
        <f>HYPERLINK("https://klasma.github.io/Logging_1880/klagomålsmail/A 8577-2021 FSC-klagomål mail.docx", "A 8577-2021")</f>
        <v/>
      </c>
      <c r="X81">
        <f>HYPERLINK("https://klasma.github.io/Logging_1880/tillsyn/A 8577-2021 tillsynsbegäran.docx", "A 8577-2021")</f>
        <v/>
      </c>
      <c r="Y81">
        <f>HYPERLINK("https://klasma.github.io/Logging_1880/tillsynsmail/A 8577-2021 tillsynsbegäran mail.docx", "A 8577-2021")</f>
        <v/>
      </c>
    </row>
    <row r="82" ht="15" customHeight="1">
      <c r="A82" t="inlineStr">
        <is>
          <t>A 15621-2021</t>
        </is>
      </c>
      <c r="B82" s="1" t="n">
        <v>44285</v>
      </c>
      <c r="C82" s="1" t="n">
        <v>45827</v>
      </c>
      <c r="D82" t="inlineStr">
        <is>
          <t>ÖREBRO LÄN</t>
        </is>
      </c>
      <c r="E82" t="inlineStr">
        <is>
          <t>ÖREBRO</t>
        </is>
      </c>
      <c r="G82" t="n">
        <v>2.8</v>
      </c>
      <c r="H82" t="n">
        <v>1</v>
      </c>
      <c r="I82" t="n">
        <v>0</v>
      </c>
      <c r="J82" t="n">
        <v>0</v>
      </c>
      <c r="K82" t="n">
        <v>0</v>
      </c>
      <c r="L82" t="n">
        <v>0</v>
      </c>
      <c r="M82" t="n">
        <v>0</v>
      </c>
      <c r="N82" t="n">
        <v>0</v>
      </c>
      <c r="O82" t="n">
        <v>0</v>
      </c>
      <c r="P82" t="n">
        <v>0</v>
      </c>
      <c r="Q82" t="n">
        <v>1</v>
      </c>
      <c r="R82" s="2" t="inlineStr">
        <is>
          <t>Fläcknycklar</t>
        </is>
      </c>
      <c r="S82">
        <f>HYPERLINK("https://klasma.github.io/Logging_1880/artfynd/A 15621-2021 artfynd.xlsx", "A 15621-2021")</f>
        <v/>
      </c>
      <c r="T82">
        <f>HYPERLINK("https://klasma.github.io/Logging_1880/kartor/A 15621-2021 karta.png", "A 15621-2021")</f>
        <v/>
      </c>
      <c r="V82">
        <f>HYPERLINK("https://klasma.github.io/Logging_1880/klagomål/A 15621-2021 FSC-klagomål.docx", "A 15621-2021")</f>
        <v/>
      </c>
      <c r="W82">
        <f>HYPERLINK("https://klasma.github.io/Logging_1880/klagomålsmail/A 15621-2021 FSC-klagomål mail.docx", "A 15621-2021")</f>
        <v/>
      </c>
      <c r="X82">
        <f>HYPERLINK("https://klasma.github.io/Logging_1880/tillsyn/A 15621-2021 tillsynsbegäran.docx", "A 15621-2021")</f>
        <v/>
      </c>
      <c r="Y82">
        <f>HYPERLINK("https://klasma.github.io/Logging_1880/tillsynsmail/A 15621-2021 tillsynsbegäran mail.docx", "A 15621-2021")</f>
        <v/>
      </c>
    </row>
    <row r="83" ht="15" customHeight="1">
      <c r="A83" t="inlineStr">
        <is>
          <t>A 32595-2021</t>
        </is>
      </c>
      <c r="B83" s="1" t="n">
        <v>44375</v>
      </c>
      <c r="C83" s="1" t="n">
        <v>45827</v>
      </c>
      <c r="D83" t="inlineStr">
        <is>
          <t>ÖREBRO LÄN</t>
        </is>
      </c>
      <c r="E83" t="inlineStr">
        <is>
          <t>ÖREBRO</t>
        </is>
      </c>
      <c r="F83" t="inlineStr">
        <is>
          <t>Kommuner</t>
        </is>
      </c>
      <c r="G83" t="n">
        <v>2.7</v>
      </c>
      <c r="H83" t="n">
        <v>1</v>
      </c>
      <c r="I83" t="n">
        <v>1</v>
      </c>
      <c r="J83" t="n">
        <v>0</v>
      </c>
      <c r="K83" t="n">
        <v>0</v>
      </c>
      <c r="L83" t="n">
        <v>0</v>
      </c>
      <c r="M83" t="n">
        <v>0</v>
      </c>
      <c r="N83" t="n">
        <v>0</v>
      </c>
      <c r="O83" t="n">
        <v>0</v>
      </c>
      <c r="P83" t="n">
        <v>0</v>
      </c>
      <c r="Q83" t="n">
        <v>1</v>
      </c>
      <c r="R83" s="2" t="inlineStr">
        <is>
          <t>Purpurknipprot</t>
        </is>
      </c>
      <c r="S83">
        <f>HYPERLINK("https://klasma.github.io/Logging_1880/artfynd/A 32595-2021 artfynd.xlsx", "A 32595-2021")</f>
        <v/>
      </c>
      <c r="T83">
        <f>HYPERLINK("https://klasma.github.io/Logging_1880/kartor/A 32595-2021 karta.png", "A 32595-2021")</f>
        <v/>
      </c>
      <c r="V83">
        <f>HYPERLINK("https://klasma.github.io/Logging_1880/klagomål/A 32595-2021 FSC-klagomål.docx", "A 32595-2021")</f>
        <v/>
      </c>
      <c r="W83">
        <f>HYPERLINK("https://klasma.github.io/Logging_1880/klagomålsmail/A 32595-2021 FSC-klagomål mail.docx", "A 32595-2021")</f>
        <v/>
      </c>
      <c r="X83">
        <f>HYPERLINK("https://klasma.github.io/Logging_1880/tillsyn/A 32595-2021 tillsynsbegäran.docx", "A 32595-2021")</f>
        <v/>
      </c>
      <c r="Y83">
        <f>HYPERLINK("https://klasma.github.io/Logging_1880/tillsynsmail/A 32595-2021 tillsynsbegäran mail.docx", "A 32595-2021")</f>
        <v/>
      </c>
    </row>
    <row r="84" ht="15" customHeight="1">
      <c r="A84" t="inlineStr">
        <is>
          <t>A 44389-2021</t>
        </is>
      </c>
      <c r="B84" s="1" t="n">
        <v>44435</v>
      </c>
      <c r="C84" s="1" t="n">
        <v>45827</v>
      </c>
      <c r="D84" t="inlineStr">
        <is>
          <t>ÖREBRO LÄN</t>
        </is>
      </c>
      <c r="E84" t="inlineStr">
        <is>
          <t>ÖREBRO</t>
        </is>
      </c>
      <c r="G84" t="n">
        <v>2.2</v>
      </c>
      <c r="H84" t="n">
        <v>1</v>
      </c>
      <c r="I84" t="n">
        <v>0</v>
      </c>
      <c r="J84" t="n">
        <v>0</v>
      </c>
      <c r="K84" t="n">
        <v>1</v>
      </c>
      <c r="L84" t="n">
        <v>0</v>
      </c>
      <c r="M84" t="n">
        <v>0</v>
      </c>
      <c r="N84" t="n">
        <v>0</v>
      </c>
      <c r="O84" t="n">
        <v>1</v>
      </c>
      <c r="P84" t="n">
        <v>1</v>
      </c>
      <c r="Q84" t="n">
        <v>1</v>
      </c>
      <c r="R84" s="2" t="inlineStr">
        <is>
          <t>Knärot</t>
        </is>
      </c>
      <c r="S84">
        <f>HYPERLINK("https://klasma.github.io/Logging_1880/artfynd/A 44389-2021 artfynd.xlsx", "A 44389-2021")</f>
        <v/>
      </c>
      <c r="T84">
        <f>HYPERLINK("https://klasma.github.io/Logging_1880/kartor/A 44389-2021 karta.png", "A 44389-2021")</f>
        <v/>
      </c>
      <c r="U84">
        <f>HYPERLINK("https://klasma.github.io/Logging_1880/knärot/A 44389-2021 karta knärot.png", "A 44389-2021")</f>
        <v/>
      </c>
      <c r="V84">
        <f>HYPERLINK("https://klasma.github.io/Logging_1880/klagomål/A 44389-2021 FSC-klagomål.docx", "A 44389-2021")</f>
        <v/>
      </c>
      <c r="W84">
        <f>HYPERLINK("https://klasma.github.io/Logging_1880/klagomålsmail/A 44389-2021 FSC-klagomål mail.docx", "A 44389-2021")</f>
        <v/>
      </c>
      <c r="X84">
        <f>HYPERLINK("https://klasma.github.io/Logging_1880/tillsyn/A 44389-2021 tillsynsbegäran.docx", "A 44389-2021")</f>
        <v/>
      </c>
      <c r="Y84">
        <f>HYPERLINK("https://klasma.github.io/Logging_1880/tillsynsmail/A 44389-2021 tillsynsbegäran mail.docx", "A 44389-2021")</f>
        <v/>
      </c>
    </row>
    <row r="85" ht="15" customHeight="1">
      <c r="A85" t="inlineStr">
        <is>
          <t>A 57108-2021</t>
        </is>
      </c>
      <c r="B85" s="1" t="n">
        <v>44482</v>
      </c>
      <c r="C85" s="1" t="n">
        <v>45827</v>
      </c>
      <c r="D85" t="inlineStr">
        <is>
          <t>ÖREBRO LÄN</t>
        </is>
      </c>
      <c r="E85" t="inlineStr">
        <is>
          <t>ÖREBRO</t>
        </is>
      </c>
      <c r="F85" t="inlineStr">
        <is>
          <t>Sveaskog</t>
        </is>
      </c>
      <c r="G85" t="n">
        <v>0.6</v>
      </c>
      <c r="H85" t="n">
        <v>1</v>
      </c>
      <c r="I85" t="n">
        <v>0</v>
      </c>
      <c r="J85" t="n">
        <v>0</v>
      </c>
      <c r="K85" t="n">
        <v>0</v>
      </c>
      <c r="L85" t="n">
        <v>0</v>
      </c>
      <c r="M85" t="n">
        <v>0</v>
      </c>
      <c r="N85" t="n">
        <v>0</v>
      </c>
      <c r="O85" t="n">
        <v>0</v>
      </c>
      <c r="P85" t="n">
        <v>0</v>
      </c>
      <c r="Q85" t="n">
        <v>1</v>
      </c>
      <c r="R85" s="2" t="inlineStr">
        <is>
          <t>Huggorm</t>
        </is>
      </c>
      <c r="S85">
        <f>HYPERLINK("https://klasma.github.io/Logging_1880/artfynd/A 57108-2021 artfynd.xlsx", "A 57108-2021")</f>
        <v/>
      </c>
      <c r="T85">
        <f>HYPERLINK("https://klasma.github.io/Logging_1880/kartor/A 57108-2021 karta.png", "A 57108-2021")</f>
        <v/>
      </c>
      <c r="V85">
        <f>HYPERLINK("https://klasma.github.io/Logging_1880/klagomål/A 57108-2021 FSC-klagomål.docx", "A 57108-2021")</f>
        <v/>
      </c>
      <c r="W85">
        <f>HYPERLINK("https://klasma.github.io/Logging_1880/klagomålsmail/A 57108-2021 FSC-klagomål mail.docx", "A 57108-2021")</f>
        <v/>
      </c>
      <c r="X85">
        <f>HYPERLINK("https://klasma.github.io/Logging_1880/tillsyn/A 57108-2021 tillsynsbegäran.docx", "A 57108-2021")</f>
        <v/>
      </c>
      <c r="Y85">
        <f>HYPERLINK("https://klasma.github.io/Logging_1880/tillsynsmail/A 57108-2021 tillsynsbegäran mail.docx", "A 57108-2021")</f>
        <v/>
      </c>
    </row>
    <row r="86" ht="15" customHeight="1">
      <c r="A86" t="inlineStr">
        <is>
          <t>A 4943-2022</t>
        </is>
      </c>
      <c r="B86" s="1" t="n">
        <v>44593</v>
      </c>
      <c r="C86" s="1" t="n">
        <v>45827</v>
      </c>
      <c r="D86" t="inlineStr">
        <is>
          <t>ÖREBRO LÄN</t>
        </is>
      </c>
      <c r="E86" t="inlineStr">
        <is>
          <t>ÖREBRO</t>
        </is>
      </c>
      <c r="G86" t="n">
        <v>1.1</v>
      </c>
      <c r="H86" t="n">
        <v>0</v>
      </c>
      <c r="I86" t="n">
        <v>0</v>
      </c>
      <c r="J86" t="n">
        <v>1</v>
      </c>
      <c r="K86" t="n">
        <v>0</v>
      </c>
      <c r="L86" t="n">
        <v>0</v>
      </c>
      <c r="M86" t="n">
        <v>0</v>
      </c>
      <c r="N86" t="n">
        <v>0</v>
      </c>
      <c r="O86" t="n">
        <v>1</v>
      </c>
      <c r="P86" t="n">
        <v>0</v>
      </c>
      <c r="Q86" t="n">
        <v>1</v>
      </c>
      <c r="R86" s="2" t="inlineStr">
        <is>
          <t>Skinntagging</t>
        </is>
      </c>
      <c r="S86">
        <f>HYPERLINK("https://klasma.github.io/Logging_1880/artfynd/A 4943-2022 artfynd.xlsx", "A 4943-2022")</f>
        <v/>
      </c>
      <c r="T86">
        <f>HYPERLINK("https://klasma.github.io/Logging_1880/kartor/A 4943-2022 karta.png", "A 4943-2022")</f>
        <v/>
      </c>
      <c r="V86">
        <f>HYPERLINK("https://klasma.github.io/Logging_1880/klagomål/A 4943-2022 FSC-klagomål.docx", "A 4943-2022")</f>
        <v/>
      </c>
      <c r="W86">
        <f>HYPERLINK("https://klasma.github.io/Logging_1880/klagomålsmail/A 4943-2022 FSC-klagomål mail.docx", "A 4943-2022")</f>
        <v/>
      </c>
      <c r="X86">
        <f>HYPERLINK("https://klasma.github.io/Logging_1880/tillsyn/A 4943-2022 tillsynsbegäran.docx", "A 4943-2022")</f>
        <v/>
      </c>
      <c r="Y86">
        <f>HYPERLINK("https://klasma.github.io/Logging_1880/tillsynsmail/A 4943-2022 tillsynsbegäran mail.docx", "A 4943-2022")</f>
        <v/>
      </c>
    </row>
    <row r="87" ht="15" customHeight="1">
      <c r="A87" t="inlineStr">
        <is>
          <t>A 26890-2022</t>
        </is>
      </c>
      <c r="B87" s="1" t="n">
        <v>44740</v>
      </c>
      <c r="C87" s="1" t="n">
        <v>45827</v>
      </c>
      <c r="D87" t="inlineStr">
        <is>
          <t>ÖREBRO LÄN</t>
        </is>
      </c>
      <c r="E87" t="inlineStr">
        <is>
          <t>ÖREBRO</t>
        </is>
      </c>
      <c r="G87" t="n">
        <v>4.2</v>
      </c>
      <c r="H87" t="n">
        <v>1</v>
      </c>
      <c r="I87" t="n">
        <v>0</v>
      </c>
      <c r="J87" t="n">
        <v>0</v>
      </c>
      <c r="K87" t="n">
        <v>1</v>
      </c>
      <c r="L87" t="n">
        <v>0</v>
      </c>
      <c r="M87" t="n">
        <v>0</v>
      </c>
      <c r="N87" t="n">
        <v>0</v>
      </c>
      <c r="O87" t="n">
        <v>1</v>
      </c>
      <c r="P87" t="n">
        <v>1</v>
      </c>
      <c r="Q87" t="n">
        <v>1</v>
      </c>
      <c r="R87" s="2" t="inlineStr">
        <is>
          <t>Hällebräcka</t>
        </is>
      </c>
      <c r="S87">
        <f>HYPERLINK("https://klasma.github.io/Logging_1880/artfynd/A 26890-2022 artfynd.xlsx", "A 26890-2022")</f>
        <v/>
      </c>
      <c r="T87">
        <f>HYPERLINK("https://klasma.github.io/Logging_1880/kartor/A 26890-2022 karta.png", "A 26890-2022")</f>
        <v/>
      </c>
      <c r="V87">
        <f>HYPERLINK("https://klasma.github.io/Logging_1880/klagomål/A 26890-2022 FSC-klagomål.docx", "A 26890-2022")</f>
        <v/>
      </c>
      <c r="W87">
        <f>HYPERLINK("https://klasma.github.io/Logging_1880/klagomålsmail/A 26890-2022 FSC-klagomål mail.docx", "A 26890-2022")</f>
        <v/>
      </c>
      <c r="X87">
        <f>HYPERLINK("https://klasma.github.io/Logging_1880/tillsyn/A 26890-2022 tillsynsbegäran.docx", "A 26890-2022")</f>
        <v/>
      </c>
      <c r="Y87">
        <f>HYPERLINK("https://klasma.github.io/Logging_1880/tillsynsmail/A 26890-2022 tillsynsbegäran mail.docx", "A 26890-2022")</f>
        <v/>
      </c>
    </row>
    <row r="88" ht="15" customHeight="1">
      <c r="A88" t="inlineStr">
        <is>
          <t>A 29704-2022</t>
        </is>
      </c>
      <c r="B88" s="1" t="n">
        <v>44755</v>
      </c>
      <c r="C88" s="1" t="n">
        <v>45827</v>
      </c>
      <c r="D88" t="inlineStr">
        <is>
          <t>ÖREBRO LÄN</t>
        </is>
      </c>
      <c r="E88" t="inlineStr">
        <is>
          <t>ÖREBRO</t>
        </is>
      </c>
      <c r="F88" t="inlineStr">
        <is>
          <t>Kommuner</t>
        </is>
      </c>
      <c r="G88" t="n">
        <v>1.1</v>
      </c>
      <c r="H88" t="n">
        <v>0</v>
      </c>
      <c r="I88" t="n">
        <v>0</v>
      </c>
      <c r="J88" t="n">
        <v>1</v>
      </c>
      <c r="K88" t="n">
        <v>0</v>
      </c>
      <c r="L88" t="n">
        <v>0</v>
      </c>
      <c r="M88" t="n">
        <v>0</v>
      </c>
      <c r="N88" t="n">
        <v>0</v>
      </c>
      <c r="O88" t="n">
        <v>1</v>
      </c>
      <c r="P88" t="n">
        <v>0</v>
      </c>
      <c r="Q88" t="n">
        <v>1</v>
      </c>
      <c r="R88" s="2" t="inlineStr">
        <is>
          <t>Motaggsvamp</t>
        </is>
      </c>
      <c r="S88">
        <f>HYPERLINK("https://klasma.github.io/Logging_1880/artfynd/A 29704-2022 artfynd.xlsx", "A 29704-2022")</f>
        <v/>
      </c>
      <c r="T88">
        <f>HYPERLINK("https://klasma.github.io/Logging_1880/kartor/A 29704-2022 karta.png", "A 29704-2022")</f>
        <v/>
      </c>
      <c r="V88">
        <f>HYPERLINK("https://klasma.github.io/Logging_1880/klagomål/A 29704-2022 FSC-klagomål.docx", "A 29704-2022")</f>
        <v/>
      </c>
      <c r="W88">
        <f>HYPERLINK("https://klasma.github.io/Logging_1880/klagomålsmail/A 29704-2022 FSC-klagomål mail.docx", "A 29704-2022")</f>
        <v/>
      </c>
      <c r="X88">
        <f>HYPERLINK("https://klasma.github.io/Logging_1880/tillsyn/A 29704-2022 tillsynsbegäran.docx", "A 29704-2022")</f>
        <v/>
      </c>
      <c r="Y88">
        <f>HYPERLINK("https://klasma.github.io/Logging_1880/tillsynsmail/A 29704-2022 tillsynsbegäran mail.docx", "A 29704-2022")</f>
        <v/>
      </c>
    </row>
    <row r="89" ht="15" customHeight="1">
      <c r="A89" t="inlineStr">
        <is>
          <t>A 29751-2022</t>
        </is>
      </c>
      <c r="B89" s="1" t="n">
        <v>44755</v>
      </c>
      <c r="C89" s="1" t="n">
        <v>45827</v>
      </c>
      <c r="D89" t="inlineStr">
        <is>
          <t>ÖREBRO LÄN</t>
        </is>
      </c>
      <c r="E89" t="inlineStr">
        <is>
          <t>ÖREBRO</t>
        </is>
      </c>
      <c r="G89" t="n">
        <v>4.2</v>
      </c>
      <c r="H89" t="n">
        <v>1</v>
      </c>
      <c r="I89" t="n">
        <v>0</v>
      </c>
      <c r="J89" t="n">
        <v>1</v>
      </c>
      <c r="K89" t="n">
        <v>0</v>
      </c>
      <c r="L89" t="n">
        <v>0</v>
      </c>
      <c r="M89" t="n">
        <v>0</v>
      </c>
      <c r="N89" t="n">
        <v>0</v>
      </c>
      <c r="O89" t="n">
        <v>1</v>
      </c>
      <c r="P89" t="n">
        <v>0</v>
      </c>
      <c r="Q89" t="n">
        <v>1</v>
      </c>
      <c r="R89" s="2" t="inlineStr">
        <is>
          <t>Talltita</t>
        </is>
      </c>
      <c r="S89">
        <f>HYPERLINK("https://klasma.github.io/Logging_1880/artfynd/A 29751-2022 artfynd.xlsx", "A 29751-2022")</f>
        <v/>
      </c>
      <c r="T89">
        <f>HYPERLINK("https://klasma.github.io/Logging_1880/kartor/A 29751-2022 karta.png", "A 29751-2022")</f>
        <v/>
      </c>
      <c r="V89">
        <f>HYPERLINK("https://klasma.github.io/Logging_1880/klagomål/A 29751-2022 FSC-klagomål.docx", "A 29751-2022")</f>
        <v/>
      </c>
      <c r="W89">
        <f>HYPERLINK("https://klasma.github.io/Logging_1880/klagomålsmail/A 29751-2022 FSC-klagomål mail.docx", "A 29751-2022")</f>
        <v/>
      </c>
      <c r="X89">
        <f>HYPERLINK("https://klasma.github.io/Logging_1880/tillsyn/A 29751-2022 tillsynsbegäran.docx", "A 29751-2022")</f>
        <v/>
      </c>
      <c r="Y89">
        <f>HYPERLINK("https://klasma.github.io/Logging_1880/tillsynsmail/A 29751-2022 tillsynsbegäran mail.docx", "A 29751-2022")</f>
        <v/>
      </c>
      <c r="Z89">
        <f>HYPERLINK("https://klasma.github.io/Logging_1880/fåglar/A 29751-2022 prioriterade fågelarter.docx", "A 29751-2022")</f>
        <v/>
      </c>
    </row>
    <row r="90" ht="15" customHeight="1">
      <c r="A90" t="inlineStr">
        <is>
          <t>A 43332-2022</t>
        </is>
      </c>
      <c r="B90" s="1" t="n">
        <v>44834</v>
      </c>
      <c r="C90" s="1" t="n">
        <v>45827</v>
      </c>
      <c r="D90" t="inlineStr">
        <is>
          <t>ÖREBRO LÄN</t>
        </is>
      </c>
      <c r="E90" t="inlineStr">
        <is>
          <t>ÖREBRO</t>
        </is>
      </c>
      <c r="G90" t="n">
        <v>2.3</v>
      </c>
      <c r="H90" t="n">
        <v>1</v>
      </c>
      <c r="I90" t="n">
        <v>0</v>
      </c>
      <c r="J90" t="n">
        <v>1</v>
      </c>
      <c r="K90" t="n">
        <v>0</v>
      </c>
      <c r="L90" t="n">
        <v>0</v>
      </c>
      <c r="M90" t="n">
        <v>0</v>
      </c>
      <c r="N90" t="n">
        <v>0</v>
      </c>
      <c r="O90" t="n">
        <v>1</v>
      </c>
      <c r="P90" t="n">
        <v>0</v>
      </c>
      <c r="Q90" t="n">
        <v>1</v>
      </c>
      <c r="R90" s="2" t="inlineStr">
        <is>
          <t>Spillkråka</t>
        </is>
      </c>
      <c r="S90">
        <f>HYPERLINK("https://klasma.github.io/Logging_1880/artfynd/A 43332-2022 artfynd.xlsx", "A 43332-2022")</f>
        <v/>
      </c>
      <c r="T90">
        <f>HYPERLINK("https://klasma.github.io/Logging_1880/kartor/A 43332-2022 karta.png", "A 43332-2022")</f>
        <v/>
      </c>
      <c r="V90">
        <f>HYPERLINK("https://klasma.github.io/Logging_1880/klagomål/A 43332-2022 FSC-klagomål.docx", "A 43332-2022")</f>
        <v/>
      </c>
      <c r="W90">
        <f>HYPERLINK("https://klasma.github.io/Logging_1880/klagomålsmail/A 43332-2022 FSC-klagomål mail.docx", "A 43332-2022")</f>
        <v/>
      </c>
      <c r="X90">
        <f>HYPERLINK("https://klasma.github.io/Logging_1880/tillsyn/A 43332-2022 tillsynsbegäran.docx", "A 43332-2022")</f>
        <v/>
      </c>
      <c r="Y90">
        <f>HYPERLINK("https://klasma.github.io/Logging_1880/tillsynsmail/A 43332-2022 tillsynsbegäran mail.docx", "A 43332-2022")</f>
        <v/>
      </c>
      <c r="Z90">
        <f>HYPERLINK("https://klasma.github.io/Logging_1880/fåglar/A 43332-2022 prioriterade fågelarter.docx", "A 43332-2022")</f>
        <v/>
      </c>
    </row>
    <row r="91" ht="15" customHeight="1">
      <c r="A91" t="inlineStr">
        <is>
          <t>A 44361-2022</t>
        </is>
      </c>
      <c r="B91" s="1" t="n">
        <v>44839</v>
      </c>
      <c r="C91" s="1" t="n">
        <v>45827</v>
      </c>
      <c r="D91" t="inlineStr">
        <is>
          <t>ÖREBRO LÄN</t>
        </is>
      </c>
      <c r="E91" t="inlineStr">
        <is>
          <t>ÖREBRO</t>
        </is>
      </c>
      <c r="G91" t="n">
        <v>1.5</v>
      </c>
      <c r="H91" t="n">
        <v>1</v>
      </c>
      <c r="I91" t="n">
        <v>0</v>
      </c>
      <c r="J91" t="n">
        <v>0</v>
      </c>
      <c r="K91" t="n">
        <v>0</v>
      </c>
      <c r="L91" t="n">
        <v>0</v>
      </c>
      <c r="M91" t="n">
        <v>0</v>
      </c>
      <c r="N91" t="n">
        <v>0</v>
      </c>
      <c r="O91" t="n">
        <v>0</v>
      </c>
      <c r="P91" t="n">
        <v>0</v>
      </c>
      <c r="Q91" t="n">
        <v>1</v>
      </c>
      <c r="R91" s="2" t="inlineStr">
        <is>
          <t>Blåsippa</t>
        </is>
      </c>
      <c r="S91">
        <f>HYPERLINK("https://klasma.github.io/Logging_1880/artfynd/A 44361-2022 artfynd.xlsx", "A 44361-2022")</f>
        <v/>
      </c>
      <c r="T91">
        <f>HYPERLINK("https://klasma.github.io/Logging_1880/kartor/A 44361-2022 karta.png", "A 44361-2022")</f>
        <v/>
      </c>
      <c r="V91">
        <f>HYPERLINK("https://klasma.github.io/Logging_1880/klagomål/A 44361-2022 FSC-klagomål.docx", "A 44361-2022")</f>
        <v/>
      </c>
      <c r="W91">
        <f>HYPERLINK("https://klasma.github.io/Logging_1880/klagomålsmail/A 44361-2022 FSC-klagomål mail.docx", "A 44361-2022")</f>
        <v/>
      </c>
      <c r="X91">
        <f>HYPERLINK("https://klasma.github.io/Logging_1880/tillsyn/A 44361-2022 tillsynsbegäran.docx", "A 44361-2022")</f>
        <v/>
      </c>
      <c r="Y91">
        <f>HYPERLINK("https://klasma.github.io/Logging_1880/tillsynsmail/A 44361-2022 tillsynsbegäran mail.docx", "A 44361-2022")</f>
        <v/>
      </c>
    </row>
    <row r="92" ht="15" customHeight="1">
      <c r="A92" t="inlineStr">
        <is>
          <t>A 2077-2023</t>
        </is>
      </c>
      <c r="B92" s="1" t="n">
        <v>44939</v>
      </c>
      <c r="C92" s="1" t="n">
        <v>45827</v>
      </c>
      <c r="D92" t="inlineStr">
        <is>
          <t>ÖREBRO LÄN</t>
        </is>
      </c>
      <c r="E92" t="inlineStr">
        <is>
          <t>ÖREBRO</t>
        </is>
      </c>
      <c r="G92" t="n">
        <v>1.4</v>
      </c>
      <c r="H92" t="n">
        <v>1</v>
      </c>
      <c r="I92" t="n">
        <v>0</v>
      </c>
      <c r="J92" t="n">
        <v>1</v>
      </c>
      <c r="K92" t="n">
        <v>0</v>
      </c>
      <c r="L92" t="n">
        <v>0</v>
      </c>
      <c r="M92" t="n">
        <v>0</v>
      </c>
      <c r="N92" t="n">
        <v>0</v>
      </c>
      <c r="O92" t="n">
        <v>1</v>
      </c>
      <c r="P92" t="n">
        <v>0</v>
      </c>
      <c r="Q92" t="n">
        <v>1</v>
      </c>
      <c r="R92" s="2" t="inlineStr">
        <is>
          <t>Rödvingetrast</t>
        </is>
      </c>
      <c r="S92">
        <f>HYPERLINK("https://klasma.github.io/Logging_1880/artfynd/A 2077-2023 artfynd.xlsx", "A 2077-2023")</f>
        <v/>
      </c>
      <c r="T92">
        <f>HYPERLINK("https://klasma.github.io/Logging_1880/kartor/A 2077-2023 karta.png", "A 2077-2023")</f>
        <v/>
      </c>
      <c r="V92">
        <f>HYPERLINK("https://klasma.github.io/Logging_1880/klagomål/A 2077-2023 FSC-klagomål.docx", "A 2077-2023")</f>
        <v/>
      </c>
      <c r="W92">
        <f>HYPERLINK("https://klasma.github.io/Logging_1880/klagomålsmail/A 2077-2023 FSC-klagomål mail.docx", "A 2077-2023")</f>
        <v/>
      </c>
      <c r="X92">
        <f>HYPERLINK("https://klasma.github.io/Logging_1880/tillsyn/A 2077-2023 tillsynsbegäran.docx", "A 2077-2023")</f>
        <v/>
      </c>
      <c r="Y92">
        <f>HYPERLINK("https://klasma.github.io/Logging_1880/tillsynsmail/A 2077-2023 tillsynsbegäran mail.docx", "A 2077-2023")</f>
        <v/>
      </c>
      <c r="Z92">
        <f>HYPERLINK("https://klasma.github.io/Logging_1880/fåglar/A 2077-2023 prioriterade fågelarter.docx", "A 2077-2023")</f>
        <v/>
      </c>
    </row>
    <row r="93" ht="15" customHeight="1">
      <c r="A93" t="inlineStr">
        <is>
          <t>A 5097-2023</t>
        </is>
      </c>
      <c r="B93" s="1" t="n">
        <v>44958</v>
      </c>
      <c r="C93" s="1" t="n">
        <v>45827</v>
      </c>
      <c r="D93" t="inlineStr">
        <is>
          <t>ÖREBRO LÄN</t>
        </is>
      </c>
      <c r="E93" t="inlineStr">
        <is>
          <t>ÖREBRO</t>
        </is>
      </c>
      <c r="G93" t="n">
        <v>3.6</v>
      </c>
      <c r="H93" t="n">
        <v>1</v>
      </c>
      <c r="I93" t="n">
        <v>0</v>
      </c>
      <c r="J93" t="n">
        <v>0</v>
      </c>
      <c r="K93" t="n">
        <v>0</v>
      </c>
      <c r="L93" t="n">
        <v>0</v>
      </c>
      <c r="M93" t="n">
        <v>0</v>
      </c>
      <c r="N93" t="n">
        <v>0</v>
      </c>
      <c r="O93" t="n">
        <v>0</v>
      </c>
      <c r="P93" t="n">
        <v>0</v>
      </c>
      <c r="Q93" t="n">
        <v>1</v>
      </c>
      <c r="R93" s="2" t="inlineStr">
        <is>
          <t>Grönvit nattviol</t>
        </is>
      </c>
      <c r="S93">
        <f>HYPERLINK("https://klasma.github.io/Logging_1880/artfynd/A 5097-2023 artfynd.xlsx", "A 5097-2023")</f>
        <v/>
      </c>
      <c r="T93">
        <f>HYPERLINK("https://klasma.github.io/Logging_1880/kartor/A 5097-2023 karta.png", "A 5097-2023")</f>
        <v/>
      </c>
      <c r="V93">
        <f>HYPERLINK("https://klasma.github.io/Logging_1880/klagomål/A 5097-2023 FSC-klagomål.docx", "A 5097-2023")</f>
        <v/>
      </c>
      <c r="W93">
        <f>HYPERLINK("https://klasma.github.io/Logging_1880/klagomålsmail/A 5097-2023 FSC-klagomål mail.docx", "A 5097-2023")</f>
        <v/>
      </c>
      <c r="X93">
        <f>HYPERLINK("https://klasma.github.io/Logging_1880/tillsyn/A 5097-2023 tillsynsbegäran.docx", "A 5097-2023")</f>
        <v/>
      </c>
      <c r="Y93">
        <f>HYPERLINK("https://klasma.github.io/Logging_1880/tillsynsmail/A 5097-2023 tillsynsbegäran mail.docx", "A 5097-2023")</f>
        <v/>
      </c>
    </row>
    <row r="94" ht="15" customHeight="1">
      <c r="A94" t="inlineStr">
        <is>
          <t>A 19939-2023</t>
        </is>
      </c>
      <c r="B94" s="1" t="n">
        <v>45054</v>
      </c>
      <c r="C94" s="1" t="n">
        <v>45827</v>
      </c>
      <c r="D94" t="inlineStr">
        <is>
          <t>ÖREBRO LÄN</t>
        </is>
      </c>
      <c r="E94" t="inlineStr">
        <is>
          <t>ÖREBRO</t>
        </is>
      </c>
      <c r="G94" t="n">
        <v>5.4</v>
      </c>
      <c r="H94" t="n">
        <v>0</v>
      </c>
      <c r="I94" t="n">
        <v>1</v>
      </c>
      <c r="J94" t="n">
        <v>0</v>
      </c>
      <c r="K94" t="n">
        <v>0</v>
      </c>
      <c r="L94" t="n">
        <v>0</v>
      </c>
      <c r="M94" t="n">
        <v>0</v>
      </c>
      <c r="N94" t="n">
        <v>0</v>
      </c>
      <c r="O94" t="n">
        <v>0</v>
      </c>
      <c r="P94" t="n">
        <v>0</v>
      </c>
      <c r="Q94" t="n">
        <v>1</v>
      </c>
      <c r="R94" s="2" t="inlineStr">
        <is>
          <t>Kambräken</t>
        </is>
      </c>
      <c r="S94">
        <f>HYPERLINK("https://klasma.github.io/Logging_1880/artfynd/A 19939-2023 artfynd.xlsx", "A 19939-2023")</f>
        <v/>
      </c>
      <c r="T94">
        <f>HYPERLINK("https://klasma.github.io/Logging_1880/kartor/A 19939-2023 karta.png", "A 19939-2023")</f>
        <v/>
      </c>
      <c r="V94">
        <f>HYPERLINK("https://klasma.github.io/Logging_1880/klagomål/A 19939-2023 FSC-klagomål.docx", "A 19939-2023")</f>
        <v/>
      </c>
      <c r="W94">
        <f>HYPERLINK("https://klasma.github.io/Logging_1880/klagomålsmail/A 19939-2023 FSC-klagomål mail.docx", "A 19939-2023")</f>
        <v/>
      </c>
      <c r="X94">
        <f>HYPERLINK("https://klasma.github.io/Logging_1880/tillsyn/A 19939-2023 tillsynsbegäran.docx", "A 19939-2023")</f>
        <v/>
      </c>
      <c r="Y94">
        <f>HYPERLINK("https://klasma.github.io/Logging_1880/tillsynsmail/A 19939-2023 tillsynsbegäran mail.docx", "A 19939-2023")</f>
        <v/>
      </c>
    </row>
    <row r="95" ht="15" customHeight="1">
      <c r="A95" t="inlineStr">
        <is>
          <t>A 20032-2023</t>
        </is>
      </c>
      <c r="B95" s="1" t="n">
        <v>45054</v>
      </c>
      <c r="C95" s="1" t="n">
        <v>45827</v>
      </c>
      <c r="D95" t="inlineStr">
        <is>
          <t>ÖREBRO LÄN</t>
        </is>
      </c>
      <c r="E95" t="inlineStr">
        <is>
          <t>ÖREBRO</t>
        </is>
      </c>
      <c r="G95" t="n">
        <v>2.6</v>
      </c>
      <c r="H95" t="n">
        <v>1</v>
      </c>
      <c r="I95" t="n">
        <v>0</v>
      </c>
      <c r="J95" t="n">
        <v>0</v>
      </c>
      <c r="K95" t="n">
        <v>0</v>
      </c>
      <c r="L95" t="n">
        <v>0</v>
      </c>
      <c r="M95" t="n">
        <v>0</v>
      </c>
      <c r="N95" t="n">
        <v>0</v>
      </c>
      <c r="O95" t="n">
        <v>0</v>
      </c>
      <c r="P95" t="n">
        <v>0</v>
      </c>
      <c r="Q95" t="n">
        <v>1</v>
      </c>
      <c r="R95" s="2" t="inlineStr">
        <is>
          <t>Fiskgjuse</t>
        </is>
      </c>
      <c r="S95">
        <f>HYPERLINK("https://klasma.github.io/Logging_1880/artfynd/A 20032-2023 artfynd.xlsx", "A 20032-2023")</f>
        <v/>
      </c>
      <c r="T95">
        <f>HYPERLINK("https://klasma.github.io/Logging_1880/kartor/A 20032-2023 karta.png", "A 20032-2023")</f>
        <v/>
      </c>
      <c r="V95">
        <f>HYPERLINK("https://klasma.github.io/Logging_1880/klagomål/A 20032-2023 FSC-klagomål.docx", "A 20032-2023")</f>
        <v/>
      </c>
      <c r="W95">
        <f>HYPERLINK("https://klasma.github.io/Logging_1880/klagomålsmail/A 20032-2023 FSC-klagomål mail.docx", "A 20032-2023")</f>
        <v/>
      </c>
      <c r="X95">
        <f>HYPERLINK("https://klasma.github.io/Logging_1880/tillsyn/A 20032-2023 tillsynsbegäran.docx", "A 20032-2023")</f>
        <v/>
      </c>
      <c r="Y95">
        <f>HYPERLINK("https://klasma.github.io/Logging_1880/tillsynsmail/A 20032-2023 tillsynsbegäran mail.docx", "A 20032-2023")</f>
        <v/>
      </c>
      <c r="Z95">
        <f>HYPERLINK("https://klasma.github.io/Logging_1880/fåglar/A 20032-2023 prioriterade fågelarter.docx", "A 20032-2023")</f>
        <v/>
      </c>
    </row>
    <row r="96" ht="15" customHeight="1">
      <c r="A96" t="inlineStr">
        <is>
          <t>A 20247-2023</t>
        </is>
      </c>
      <c r="B96" s="1" t="n">
        <v>45055</v>
      </c>
      <c r="C96" s="1" t="n">
        <v>45827</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Större vattensalamander</t>
        </is>
      </c>
      <c r="S96">
        <f>HYPERLINK("https://klasma.github.io/Logging_1880/artfynd/A 20247-2023 artfynd.xlsx", "A 20247-2023")</f>
        <v/>
      </c>
      <c r="T96">
        <f>HYPERLINK("https://klasma.github.io/Logging_1880/kartor/A 20247-2023 karta.png", "A 20247-2023")</f>
        <v/>
      </c>
      <c r="V96">
        <f>HYPERLINK("https://klasma.github.io/Logging_1880/klagomål/A 20247-2023 FSC-klagomål.docx", "A 20247-2023")</f>
        <v/>
      </c>
      <c r="W96">
        <f>HYPERLINK("https://klasma.github.io/Logging_1880/klagomålsmail/A 20247-2023 FSC-klagomål mail.docx", "A 20247-2023")</f>
        <v/>
      </c>
      <c r="X96">
        <f>HYPERLINK("https://klasma.github.io/Logging_1880/tillsyn/A 20247-2023 tillsynsbegäran.docx", "A 20247-2023")</f>
        <v/>
      </c>
      <c r="Y96">
        <f>HYPERLINK("https://klasma.github.io/Logging_1880/tillsynsmail/A 20247-2023 tillsynsbegäran mail.docx", "A 20247-2023")</f>
        <v/>
      </c>
    </row>
    <row r="97" ht="15" customHeight="1">
      <c r="A97" t="inlineStr">
        <is>
          <t>A 22848-2023</t>
        </is>
      </c>
      <c r="B97" s="1" t="n">
        <v>45072</v>
      </c>
      <c r="C97" s="1" t="n">
        <v>45827</v>
      </c>
      <c r="D97" t="inlineStr">
        <is>
          <t>ÖREBRO LÄN</t>
        </is>
      </c>
      <c r="E97" t="inlineStr">
        <is>
          <t>ÖREBRO</t>
        </is>
      </c>
      <c r="G97" t="n">
        <v>3.6</v>
      </c>
      <c r="H97" t="n">
        <v>0</v>
      </c>
      <c r="I97" t="n">
        <v>1</v>
      </c>
      <c r="J97" t="n">
        <v>0</v>
      </c>
      <c r="K97" t="n">
        <v>0</v>
      </c>
      <c r="L97" t="n">
        <v>0</v>
      </c>
      <c r="M97" t="n">
        <v>0</v>
      </c>
      <c r="N97" t="n">
        <v>0</v>
      </c>
      <c r="O97" t="n">
        <v>0</v>
      </c>
      <c r="P97" t="n">
        <v>0</v>
      </c>
      <c r="Q97" t="n">
        <v>1</v>
      </c>
      <c r="R97" s="2" t="inlineStr">
        <is>
          <t>Blomkålssvamp</t>
        </is>
      </c>
      <c r="S97">
        <f>HYPERLINK("https://klasma.github.io/Logging_1880/artfynd/A 22848-2023 artfynd.xlsx", "A 22848-2023")</f>
        <v/>
      </c>
      <c r="T97">
        <f>HYPERLINK("https://klasma.github.io/Logging_1880/kartor/A 22848-2023 karta.png", "A 22848-2023")</f>
        <v/>
      </c>
      <c r="V97">
        <f>HYPERLINK("https://klasma.github.io/Logging_1880/klagomål/A 22848-2023 FSC-klagomål.docx", "A 22848-2023")</f>
        <v/>
      </c>
      <c r="W97">
        <f>HYPERLINK("https://klasma.github.io/Logging_1880/klagomålsmail/A 22848-2023 FSC-klagomål mail.docx", "A 22848-2023")</f>
        <v/>
      </c>
      <c r="X97">
        <f>HYPERLINK("https://klasma.github.io/Logging_1880/tillsyn/A 22848-2023 tillsynsbegäran.docx", "A 22848-2023")</f>
        <v/>
      </c>
      <c r="Y97">
        <f>HYPERLINK("https://klasma.github.io/Logging_1880/tillsynsmail/A 22848-2023 tillsynsbegäran mail.docx", "A 22848-2023")</f>
        <v/>
      </c>
    </row>
    <row r="98" ht="15" customHeight="1">
      <c r="A98" t="inlineStr">
        <is>
          <t>A 30708-2023</t>
        </is>
      </c>
      <c r="B98" s="1" t="n">
        <v>45112</v>
      </c>
      <c r="C98" s="1" t="n">
        <v>45827</v>
      </c>
      <c r="D98" t="inlineStr">
        <is>
          <t>ÖREBRO LÄN</t>
        </is>
      </c>
      <c r="E98" t="inlineStr">
        <is>
          <t>ÖREBRO</t>
        </is>
      </c>
      <c r="G98" t="n">
        <v>3</v>
      </c>
      <c r="H98" t="n">
        <v>1</v>
      </c>
      <c r="I98" t="n">
        <v>0</v>
      </c>
      <c r="J98" t="n">
        <v>0</v>
      </c>
      <c r="K98" t="n">
        <v>0</v>
      </c>
      <c r="L98" t="n">
        <v>0</v>
      </c>
      <c r="M98" t="n">
        <v>0</v>
      </c>
      <c r="N98" t="n">
        <v>0</v>
      </c>
      <c r="O98" t="n">
        <v>0</v>
      </c>
      <c r="P98" t="n">
        <v>0</v>
      </c>
      <c r="Q98" t="n">
        <v>1</v>
      </c>
      <c r="R98" s="2" t="inlineStr">
        <is>
          <t>Sångsvan</t>
        </is>
      </c>
      <c r="S98">
        <f>HYPERLINK("https://klasma.github.io/Logging_1880/artfynd/A 30708-2023 artfynd.xlsx", "A 30708-2023")</f>
        <v/>
      </c>
      <c r="T98">
        <f>HYPERLINK("https://klasma.github.io/Logging_1880/kartor/A 30708-2023 karta.png", "A 30708-2023")</f>
        <v/>
      </c>
      <c r="V98">
        <f>HYPERLINK("https://klasma.github.io/Logging_1880/klagomål/A 30708-2023 FSC-klagomål.docx", "A 30708-2023")</f>
        <v/>
      </c>
      <c r="W98">
        <f>HYPERLINK("https://klasma.github.io/Logging_1880/klagomålsmail/A 30708-2023 FSC-klagomål mail.docx", "A 30708-2023")</f>
        <v/>
      </c>
      <c r="X98">
        <f>HYPERLINK("https://klasma.github.io/Logging_1880/tillsyn/A 30708-2023 tillsynsbegäran.docx", "A 30708-2023")</f>
        <v/>
      </c>
      <c r="Y98">
        <f>HYPERLINK("https://klasma.github.io/Logging_1880/tillsynsmail/A 30708-2023 tillsynsbegäran mail.docx", "A 30708-2023")</f>
        <v/>
      </c>
      <c r="Z98">
        <f>HYPERLINK("https://klasma.github.io/Logging_1880/fåglar/A 30708-2023 prioriterade fågelarter.docx", "A 30708-2023")</f>
        <v/>
      </c>
    </row>
    <row r="99" ht="15" customHeight="1">
      <c r="A99" t="inlineStr">
        <is>
          <t>A 30725-2023</t>
        </is>
      </c>
      <c r="B99" s="1" t="n">
        <v>45112</v>
      </c>
      <c r="C99" s="1" t="n">
        <v>45827</v>
      </c>
      <c r="D99" t="inlineStr">
        <is>
          <t>ÖREBRO LÄN</t>
        </is>
      </c>
      <c r="E99" t="inlineStr">
        <is>
          <t>ÖREBRO</t>
        </is>
      </c>
      <c r="G99" t="n">
        <v>1.8</v>
      </c>
      <c r="H99" t="n">
        <v>1</v>
      </c>
      <c r="I99" t="n">
        <v>0</v>
      </c>
      <c r="J99" t="n">
        <v>1</v>
      </c>
      <c r="K99" t="n">
        <v>0</v>
      </c>
      <c r="L99" t="n">
        <v>0</v>
      </c>
      <c r="M99" t="n">
        <v>0</v>
      </c>
      <c r="N99" t="n">
        <v>0</v>
      </c>
      <c r="O99" t="n">
        <v>1</v>
      </c>
      <c r="P99" t="n">
        <v>0</v>
      </c>
      <c r="Q99" t="n">
        <v>1</v>
      </c>
      <c r="R99" s="2" t="inlineStr">
        <is>
          <t>Gulsparv</t>
        </is>
      </c>
      <c r="S99">
        <f>HYPERLINK("https://klasma.github.io/Logging_1880/artfynd/A 30725-2023 artfynd.xlsx", "A 30725-2023")</f>
        <v/>
      </c>
      <c r="T99">
        <f>HYPERLINK("https://klasma.github.io/Logging_1880/kartor/A 30725-2023 karta.png", "A 30725-2023")</f>
        <v/>
      </c>
      <c r="V99">
        <f>HYPERLINK("https://klasma.github.io/Logging_1880/klagomål/A 30725-2023 FSC-klagomål.docx", "A 30725-2023")</f>
        <v/>
      </c>
      <c r="W99">
        <f>HYPERLINK("https://klasma.github.io/Logging_1880/klagomålsmail/A 30725-2023 FSC-klagomål mail.docx", "A 30725-2023")</f>
        <v/>
      </c>
      <c r="X99">
        <f>HYPERLINK("https://klasma.github.io/Logging_1880/tillsyn/A 30725-2023 tillsynsbegäran.docx", "A 30725-2023")</f>
        <v/>
      </c>
      <c r="Y99">
        <f>HYPERLINK("https://klasma.github.io/Logging_1880/tillsynsmail/A 30725-2023 tillsynsbegäran mail.docx", "A 30725-2023")</f>
        <v/>
      </c>
      <c r="Z99">
        <f>HYPERLINK("https://klasma.github.io/Logging_1880/fåglar/A 30725-2023 prioriterade fågelarter.docx", "A 30725-2023")</f>
        <v/>
      </c>
    </row>
    <row r="100" ht="15" customHeight="1">
      <c r="A100" t="inlineStr">
        <is>
          <t>A 32105-2023</t>
        </is>
      </c>
      <c r="B100" s="1" t="n">
        <v>45119</v>
      </c>
      <c r="C100" s="1" t="n">
        <v>45827</v>
      </c>
      <c r="D100" t="inlineStr">
        <is>
          <t>ÖREBRO LÄN</t>
        </is>
      </c>
      <c r="E100" t="inlineStr">
        <is>
          <t>ÖREBRO</t>
        </is>
      </c>
      <c r="G100" t="n">
        <v>1.3</v>
      </c>
      <c r="H100" t="n">
        <v>1</v>
      </c>
      <c r="I100" t="n">
        <v>0</v>
      </c>
      <c r="J100" t="n">
        <v>1</v>
      </c>
      <c r="K100" t="n">
        <v>0</v>
      </c>
      <c r="L100" t="n">
        <v>0</v>
      </c>
      <c r="M100" t="n">
        <v>0</v>
      </c>
      <c r="N100" t="n">
        <v>0</v>
      </c>
      <c r="O100" t="n">
        <v>1</v>
      </c>
      <c r="P100" t="n">
        <v>0</v>
      </c>
      <c r="Q100" t="n">
        <v>1</v>
      </c>
      <c r="R100" s="2" t="inlineStr">
        <is>
          <t>Rödvingetrast</t>
        </is>
      </c>
      <c r="S100">
        <f>HYPERLINK("https://klasma.github.io/Logging_1880/artfynd/A 32105-2023 artfynd.xlsx", "A 32105-2023")</f>
        <v/>
      </c>
      <c r="T100">
        <f>HYPERLINK("https://klasma.github.io/Logging_1880/kartor/A 32105-2023 karta.png", "A 32105-2023")</f>
        <v/>
      </c>
      <c r="V100">
        <f>HYPERLINK("https://klasma.github.io/Logging_1880/klagomål/A 32105-2023 FSC-klagomål.docx", "A 32105-2023")</f>
        <v/>
      </c>
      <c r="W100">
        <f>HYPERLINK("https://klasma.github.io/Logging_1880/klagomålsmail/A 32105-2023 FSC-klagomål mail.docx", "A 32105-2023")</f>
        <v/>
      </c>
      <c r="X100">
        <f>HYPERLINK("https://klasma.github.io/Logging_1880/tillsyn/A 32105-2023 tillsynsbegäran.docx", "A 32105-2023")</f>
        <v/>
      </c>
      <c r="Y100">
        <f>HYPERLINK("https://klasma.github.io/Logging_1880/tillsynsmail/A 32105-2023 tillsynsbegäran mail.docx", "A 32105-2023")</f>
        <v/>
      </c>
      <c r="Z100">
        <f>HYPERLINK("https://klasma.github.io/Logging_1880/fåglar/A 32105-2023 prioriterade fågelarter.docx", "A 32105-2023")</f>
        <v/>
      </c>
    </row>
    <row r="101" ht="15" customHeight="1">
      <c r="A101" t="inlineStr">
        <is>
          <t>A 60352-2023</t>
        </is>
      </c>
      <c r="B101" s="1" t="n">
        <v>45258</v>
      </c>
      <c r="C101" s="1" t="n">
        <v>45827</v>
      </c>
      <c r="D101" t="inlineStr">
        <is>
          <t>ÖREBRO LÄN</t>
        </is>
      </c>
      <c r="E101" t="inlineStr">
        <is>
          <t>ÖREBRO</t>
        </is>
      </c>
      <c r="G101" t="n">
        <v>13.7</v>
      </c>
      <c r="H101" t="n">
        <v>0</v>
      </c>
      <c r="I101" t="n">
        <v>1</v>
      </c>
      <c r="J101" t="n">
        <v>0</v>
      </c>
      <c r="K101" t="n">
        <v>0</v>
      </c>
      <c r="L101" t="n">
        <v>0</v>
      </c>
      <c r="M101" t="n">
        <v>0</v>
      </c>
      <c r="N101" t="n">
        <v>0</v>
      </c>
      <c r="O101" t="n">
        <v>0</v>
      </c>
      <c r="P101" t="n">
        <v>0</v>
      </c>
      <c r="Q101" t="n">
        <v>1</v>
      </c>
      <c r="R101" s="2" t="inlineStr">
        <is>
          <t>Blomkålssvamp</t>
        </is>
      </c>
      <c r="S101">
        <f>HYPERLINK("https://klasma.github.io/Logging_1880/artfynd/A 60352-2023 artfynd.xlsx", "A 60352-2023")</f>
        <v/>
      </c>
      <c r="T101">
        <f>HYPERLINK("https://klasma.github.io/Logging_1880/kartor/A 60352-2023 karta.png", "A 60352-2023")</f>
        <v/>
      </c>
      <c r="V101">
        <f>HYPERLINK("https://klasma.github.io/Logging_1880/klagomål/A 60352-2023 FSC-klagomål.docx", "A 60352-2023")</f>
        <v/>
      </c>
      <c r="W101">
        <f>HYPERLINK("https://klasma.github.io/Logging_1880/klagomålsmail/A 60352-2023 FSC-klagomål mail.docx", "A 60352-2023")</f>
        <v/>
      </c>
      <c r="X101">
        <f>HYPERLINK("https://klasma.github.io/Logging_1880/tillsyn/A 60352-2023 tillsynsbegäran.docx", "A 60352-2023")</f>
        <v/>
      </c>
      <c r="Y101">
        <f>HYPERLINK("https://klasma.github.io/Logging_1880/tillsynsmail/A 60352-2023 tillsynsbegäran mail.docx", "A 60352-2023")</f>
        <v/>
      </c>
    </row>
    <row r="102" ht="15" customHeight="1">
      <c r="A102" t="inlineStr">
        <is>
          <t>A 3866-2024</t>
        </is>
      </c>
      <c r="B102" s="1" t="n">
        <v>45322</v>
      </c>
      <c r="C102" s="1" t="n">
        <v>45827</v>
      </c>
      <c r="D102" t="inlineStr">
        <is>
          <t>ÖREBRO LÄN</t>
        </is>
      </c>
      <c r="E102" t="inlineStr">
        <is>
          <t>ÖREBRO</t>
        </is>
      </c>
      <c r="F102" t="inlineStr">
        <is>
          <t>Övriga Aktiebolag</t>
        </is>
      </c>
      <c r="G102" t="n">
        <v>4.7</v>
      </c>
      <c r="H102" t="n">
        <v>1</v>
      </c>
      <c r="I102" t="n">
        <v>0</v>
      </c>
      <c r="J102" t="n">
        <v>0</v>
      </c>
      <c r="K102" t="n">
        <v>0</v>
      </c>
      <c r="L102" t="n">
        <v>1</v>
      </c>
      <c r="M102" t="n">
        <v>0</v>
      </c>
      <c r="N102" t="n">
        <v>0</v>
      </c>
      <c r="O102" t="n">
        <v>1</v>
      </c>
      <c r="P102" t="n">
        <v>1</v>
      </c>
      <c r="Q102" t="n">
        <v>1</v>
      </c>
      <c r="R102" s="2" t="inlineStr">
        <is>
          <t>Bredgentiana</t>
        </is>
      </c>
      <c r="S102">
        <f>HYPERLINK("https://klasma.github.io/Logging_1880/artfynd/A 3866-2024 artfynd.xlsx", "A 3866-2024")</f>
        <v/>
      </c>
      <c r="T102">
        <f>HYPERLINK("https://klasma.github.io/Logging_1880/kartor/A 3866-2024 karta.png", "A 3866-2024")</f>
        <v/>
      </c>
      <c r="V102">
        <f>HYPERLINK("https://klasma.github.io/Logging_1880/klagomål/A 3866-2024 FSC-klagomål.docx", "A 3866-2024")</f>
        <v/>
      </c>
      <c r="W102">
        <f>HYPERLINK("https://klasma.github.io/Logging_1880/klagomålsmail/A 3866-2024 FSC-klagomål mail.docx", "A 3866-2024")</f>
        <v/>
      </c>
      <c r="X102">
        <f>HYPERLINK("https://klasma.github.io/Logging_1880/tillsyn/A 3866-2024 tillsynsbegäran.docx", "A 3866-2024")</f>
        <v/>
      </c>
      <c r="Y102">
        <f>HYPERLINK("https://klasma.github.io/Logging_1880/tillsynsmail/A 3866-2024 tillsynsbegäran mail.docx", "A 3866-2024")</f>
        <v/>
      </c>
    </row>
    <row r="103" ht="15" customHeight="1">
      <c r="A103" t="inlineStr">
        <is>
          <t>A 5123-2024</t>
        </is>
      </c>
      <c r="B103" s="1" t="n">
        <v>45330</v>
      </c>
      <c r="C103" s="1" t="n">
        <v>45827</v>
      </c>
      <c r="D103" t="inlineStr">
        <is>
          <t>ÖREBRO LÄN</t>
        </is>
      </c>
      <c r="E103" t="inlineStr">
        <is>
          <t>ÖREBRO</t>
        </is>
      </c>
      <c r="G103" t="n">
        <v>1</v>
      </c>
      <c r="H103" t="n">
        <v>0</v>
      </c>
      <c r="I103" t="n">
        <v>1</v>
      </c>
      <c r="J103" t="n">
        <v>0</v>
      </c>
      <c r="K103" t="n">
        <v>0</v>
      </c>
      <c r="L103" t="n">
        <v>0</v>
      </c>
      <c r="M103" t="n">
        <v>0</v>
      </c>
      <c r="N103" t="n">
        <v>0</v>
      </c>
      <c r="O103" t="n">
        <v>0</v>
      </c>
      <c r="P103" t="n">
        <v>0</v>
      </c>
      <c r="Q103" t="n">
        <v>1</v>
      </c>
      <c r="R103" s="2" t="inlineStr">
        <is>
          <t>Svart trolldruva</t>
        </is>
      </c>
      <c r="S103">
        <f>HYPERLINK("https://klasma.github.io/Logging_1880/artfynd/A 5123-2024 artfynd.xlsx", "A 5123-2024")</f>
        <v/>
      </c>
      <c r="T103">
        <f>HYPERLINK("https://klasma.github.io/Logging_1880/kartor/A 5123-2024 karta.png", "A 5123-2024")</f>
        <v/>
      </c>
      <c r="V103">
        <f>HYPERLINK("https://klasma.github.io/Logging_1880/klagomål/A 5123-2024 FSC-klagomål.docx", "A 5123-2024")</f>
        <v/>
      </c>
      <c r="W103">
        <f>HYPERLINK("https://klasma.github.io/Logging_1880/klagomålsmail/A 5123-2024 FSC-klagomål mail.docx", "A 5123-2024")</f>
        <v/>
      </c>
      <c r="X103">
        <f>HYPERLINK("https://klasma.github.io/Logging_1880/tillsyn/A 5123-2024 tillsynsbegäran.docx", "A 5123-2024")</f>
        <v/>
      </c>
      <c r="Y103">
        <f>HYPERLINK("https://klasma.github.io/Logging_1880/tillsynsmail/A 5123-2024 tillsynsbegäran mail.docx", "A 5123-2024")</f>
        <v/>
      </c>
    </row>
    <row r="104" ht="15" customHeight="1">
      <c r="A104" t="inlineStr">
        <is>
          <t>A 8795-2024</t>
        </is>
      </c>
      <c r="B104" s="1" t="n">
        <v>45356</v>
      </c>
      <c r="C104" s="1" t="n">
        <v>45827</v>
      </c>
      <c r="D104" t="inlineStr">
        <is>
          <t>ÖREBRO LÄN</t>
        </is>
      </c>
      <c r="E104" t="inlineStr">
        <is>
          <t>ÖREBRO</t>
        </is>
      </c>
      <c r="G104" t="n">
        <v>3.1</v>
      </c>
      <c r="H104" t="n">
        <v>0</v>
      </c>
      <c r="I104" t="n">
        <v>0</v>
      </c>
      <c r="J104" t="n">
        <v>0</v>
      </c>
      <c r="K104" t="n">
        <v>1</v>
      </c>
      <c r="L104" t="n">
        <v>0</v>
      </c>
      <c r="M104" t="n">
        <v>0</v>
      </c>
      <c r="N104" t="n">
        <v>0</v>
      </c>
      <c r="O104" t="n">
        <v>1</v>
      </c>
      <c r="P104" t="n">
        <v>1</v>
      </c>
      <c r="Q104" t="n">
        <v>1</v>
      </c>
      <c r="R104" s="2" t="inlineStr">
        <is>
          <t>Violgubbe</t>
        </is>
      </c>
      <c r="S104">
        <f>HYPERLINK("https://klasma.github.io/Logging_1880/artfynd/A 8795-2024 artfynd.xlsx", "A 8795-2024")</f>
        <v/>
      </c>
      <c r="T104">
        <f>HYPERLINK("https://klasma.github.io/Logging_1880/kartor/A 8795-2024 karta.png", "A 8795-2024")</f>
        <v/>
      </c>
      <c r="V104">
        <f>HYPERLINK("https://klasma.github.io/Logging_1880/klagomål/A 8795-2024 FSC-klagomål.docx", "A 8795-2024")</f>
        <v/>
      </c>
      <c r="W104">
        <f>HYPERLINK("https://klasma.github.io/Logging_1880/klagomålsmail/A 8795-2024 FSC-klagomål mail.docx", "A 8795-2024")</f>
        <v/>
      </c>
      <c r="X104">
        <f>HYPERLINK("https://klasma.github.io/Logging_1880/tillsyn/A 8795-2024 tillsynsbegäran.docx", "A 8795-2024")</f>
        <v/>
      </c>
      <c r="Y104">
        <f>HYPERLINK("https://klasma.github.io/Logging_1880/tillsynsmail/A 8795-2024 tillsynsbegäran mail.docx", "A 8795-2024")</f>
        <v/>
      </c>
    </row>
    <row r="105" ht="15" customHeight="1">
      <c r="A105" t="inlineStr">
        <is>
          <t>A 13484-2024</t>
        </is>
      </c>
      <c r="B105" s="1" t="n">
        <v>45387</v>
      </c>
      <c r="C105" s="1" t="n">
        <v>45827</v>
      </c>
      <c r="D105" t="inlineStr">
        <is>
          <t>ÖREBRO LÄN</t>
        </is>
      </c>
      <c r="E105" t="inlineStr">
        <is>
          <t>ÖREBRO</t>
        </is>
      </c>
      <c r="G105" t="n">
        <v>9.1</v>
      </c>
      <c r="H105" t="n">
        <v>1</v>
      </c>
      <c r="I105" t="n">
        <v>0</v>
      </c>
      <c r="J105" t="n">
        <v>1</v>
      </c>
      <c r="K105" t="n">
        <v>0</v>
      </c>
      <c r="L105" t="n">
        <v>0</v>
      </c>
      <c r="M105" t="n">
        <v>0</v>
      </c>
      <c r="N105" t="n">
        <v>0</v>
      </c>
      <c r="O105" t="n">
        <v>1</v>
      </c>
      <c r="P105" t="n">
        <v>0</v>
      </c>
      <c r="Q105" t="n">
        <v>1</v>
      </c>
      <c r="R105" s="2" t="inlineStr">
        <is>
          <t>Spillkråka</t>
        </is>
      </c>
      <c r="S105">
        <f>HYPERLINK("https://klasma.github.io/Logging_1880/artfynd/A 13484-2024 artfynd.xlsx", "A 13484-2024")</f>
        <v/>
      </c>
      <c r="T105">
        <f>HYPERLINK("https://klasma.github.io/Logging_1880/kartor/A 13484-2024 karta.png", "A 13484-2024")</f>
        <v/>
      </c>
      <c r="V105">
        <f>HYPERLINK("https://klasma.github.io/Logging_1880/klagomål/A 13484-2024 FSC-klagomål.docx", "A 13484-2024")</f>
        <v/>
      </c>
      <c r="W105">
        <f>HYPERLINK("https://klasma.github.io/Logging_1880/klagomålsmail/A 13484-2024 FSC-klagomål mail.docx", "A 13484-2024")</f>
        <v/>
      </c>
      <c r="X105">
        <f>HYPERLINK("https://klasma.github.io/Logging_1880/tillsyn/A 13484-2024 tillsynsbegäran.docx", "A 13484-2024")</f>
        <v/>
      </c>
      <c r="Y105">
        <f>HYPERLINK("https://klasma.github.io/Logging_1880/tillsynsmail/A 13484-2024 tillsynsbegäran mail.docx", "A 13484-2024")</f>
        <v/>
      </c>
      <c r="Z105">
        <f>HYPERLINK("https://klasma.github.io/Logging_1880/fåglar/A 13484-2024 prioriterade fågelarter.docx", "A 13484-2024")</f>
        <v/>
      </c>
    </row>
    <row r="106" ht="15" customHeight="1">
      <c r="A106" t="inlineStr">
        <is>
          <t>A 22604-2024</t>
        </is>
      </c>
      <c r="B106" s="1" t="n">
        <v>45447</v>
      </c>
      <c r="C106" s="1" t="n">
        <v>45827</v>
      </c>
      <c r="D106" t="inlineStr">
        <is>
          <t>ÖREBRO LÄN</t>
        </is>
      </c>
      <c r="E106" t="inlineStr">
        <is>
          <t>ÖREBRO</t>
        </is>
      </c>
      <c r="G106" t="n">
        <v>4.4</v>
      </c>
      <c r="H106" t="n">
        <v>0</v>
      </c>
      <c r="I106" t="n">
        <v>0</v>
      </c>
      <c r="J106" t="n">
        <v>1</v>
      </c>
      <c r="K106" t="n">
        <v>0</v>
      </c>
      <c r="L106" t="n">
        <v>0</v>
      </c>
      <c r="M106" t="n">
        <v>0</v>
      </c>
      <c r="N106" t="n">
        <v>0</v>
      </c>
      <c r="O106" t="n">
        <v>1</v>
      </c>
      <c r="P106" t="n">
        <v>0</v>
      </c>
      <c r="Q106" t="n">
        <v>1</v>
      </c>
      <c r="R106" s="2" t="inlineStr">
        <is>
          <t>Månlåsbräken</t>
        </is>
      </c>
      <c r="S106">
        <f>HYPERLINK("https://klasma.github.io/Logging_1880/artfynd/A 22604-2024 artfynd.xlsx", "A 22604-2024")</f>
        <v/>
      </c>
      <c r="T106">
        <f>HYPERLINK("https://klasma.github.io/Logging_1880/kartor/A 22604-2024 karta.png", "A 22604-2024")</f>
        <v/>
      </c>
      <c r="V106">
        <f>HYPERLINK("https://klasma.github.io/Logging_1880/klagomål/A 22604-2024 FSC-klagomål.docx", "A 22604-2024")</f>
        <v/>
      </c>
      <c r="W106">
        <f>HYPERLINK("https://klasma.github.io/Logging_1880/klagomålsmail/A 22604-2024 FSC-klagomål mail.docx", "A 22604-2024")</f>
        <v/>
      </c>
      <c r="X106">
        <f>HYPERLINK("https://klasma.github.io/Logging_1880/tillsyn/A 22604-2024 tillsynsbegäran.docx", "A 22604-2024")</f>
        <v/>
      </c>
      <c r="Y106">
        <f>HYPERLINK("https://klasma.github.io/Logging_1880/tillsynsmail/A 22604-2024 tillsynsbegäran mail.docx", "A 22604-2024")</f>
        <v/>
      </c>
    </row>
    <row r="107" ht="15" customHeight="1">
      <c r="A107" t="inlineStr">
        <is>
          <t>A 31695-2024</t>
        </is>
      </c>
      <c r="B107" s="1" t="n">
        <v>45508</v>
      </c>
      <c r="C107" s="1" t="n">
        <v>45827</v>
      </c>
      <c r="D107" t="inlineStr">
        <is>
          <t>ÖREBRO LÄN</t>
        </is>
      </c>
      <c r="E107" t="inlineStr">
        <is>
          <t>ÖREBRO</t>
        </is>
      </c>
      <c r="G107" t="n">
        <v>1.3</v>
      </c>
      <c r="H107" t="n">
        <v>1</v>
      </c>
      <c r="I107" t="n">
        <v>1</v>
      </c>
      <c r="J107" t="n">
        <v>0</v>
      </c>
      <c r="K107" t="n">
        <v>0</v>
      </c>
      <c r="L107" t="n">
        <v>0</v>
      </c>
      <c r="M107" t="n">
        <v>0</v>
      </c>
      <c r="N107" t="n">
        <v>0</v>
      </c>
      <c r="O107" t="n">
        <v>0</v>
      </c>
      <c r="P107" t="n">
        <v>0</v>
      </c>
      <c r="Q107" t="n">
        <v>1</v>
      </c>
      <c r="R107" s="2" t="inlineStr">
        <is>
          <t>Skogsknipprot</t>
        </is>
      </c>
      <c r="S107">
        <f>HYPERLINK("https://klasma.github.io/Logging_1880/artfynd/A 31695-2024 artfynd.xlsx", "A 31695-2024")</f>
        <v/>
      </c>
      <c r="T107">
        <f>HYPERLINK("https://klasma.github.io/Logging_1880/kartor/A 31695-2024 karta.png", "A 31695-2024")</f>
        <v/>
      </c>
      <c r="V107">
        <f>HYPERLINK("https://klasma.github.io/Logging_1880/klagomål/A 31695-2024 FSC-klagomål.docx", "A 31695-2024")</f>
        <v/>
      </c>
      <c r="W107">
        <f>HYPERLINK("https://klasma.github.io/Logging_1880/klagomålsmail/A 31695-2024 FSC-klagomål mail.docx", "A 31695-2024")</f>
        <v/>
      </c>
      <c r="X107">
        <f>HYPERLINK("https://klasma.github.io/Logging_1880/tillsyn/A 31695-2024 tillsynsbegäran.docx", "A 31695-2024")</f>
        <v/>
      </c>
      <c r="Y107">
        <f>HYPERLINK("https://klasma.github.io/Logging_1880/tillsynsmail/A 31695-2024 tillsynsbegäran mail.docx", "A 31695-2024")</f>
        <v/>
      </c>
    </row>
    <row r="108" ht="15" customHeight="1">
      <c r="A108" t="inlineStr">
        <is>
          <t>A 44744-2024</t>
        </is>
      </c>
      <c r="B108" s="1" t="n">
        <v>45574</v>
      </c>
      <c r="C108" s="1" t="n">
        <v>45827</v>
      </c>
      <c r="D108" t="inlineStr">
        <is>
          <t>ÖREBRO LÄN</t>
        </is>
      </c>
      <c r="E108" t="inlineStr">
        <is>
          <t>ÖREBRO</t>
        </is>
      </c>
      <c r="G108" t="n">
        <v>11.6</v>
      </c>
      <c r="H108" t="n">
        <v>1</v>
      </c>
      <c r="I108" t="n">
        <v>0</v>
      </c>
      <c r="J108" t="n">
        <v>0</v>
      </c>
      <c r="K108" t="n">
        <v>0</v>
      </c>
      <c r="L108" t="n">
        <v>0</v>
      </c>
      <c r="M108" t="n">
        <v>0</v>
      </c>
      <c r="N108" t="n">
        <v>0</v>
      </c>
      <c r="O108" t="n">
        <v>0</v>
      </c>
      <c r="P108" t="n">
        <v>0</v>
      </c>
      <c r="Q108" t="n">
        <v>1</v>
      </c>
      <c r="R108" s="2" t="inlineStr">
        <is>
          <t>Revlummer</t>
        </is>
      </c>
      <c r="S108">
        <f>HYPERLINK("https://klasma.github.io/Logging_1880/artfynd/A 44744-2024 artfynd.xlsx", "A 44744-2024")</f>
        <v/>
      </c>
      <c r="T108">
        <f>HYPERLINK("https://klasma.github.io/Logging_1880/kartor/A 44744-2024 karta.png", "A 44744-2024")</f>
        <v/>
      </c>
      <c r="V108">
        <f>HYPERLINK("https://klasma.github.io/Logging_1880/klagomål/A 44744-2024 FSC-klagomål.docx", "A 44744-2024")</f>
        <v/>
      </c>
      <c r="W108">
        <f>HYPERLINK("https://klasma.github.io/Logging_1880/klagomålsmail/A 44744-2024 FSC-klagomål mail.docx", "A 44744-2024")</f>
        <v/>
      </c>
      <c r="X108">
        <f>HYPERLINK("https://klasma.github.io/Logging_1880/tillsyn/A 44744-2024 tillsynsbegäran.docx", "A 44744-2024")</f>
        <v/>
      </c>
      <c r="Y108">
        <f>HYPERLINK("https://klasma.github.io/Logging_1880/tillsynsmail/A 44744-2024 tillsynsbegäran mail.docx", "A 44744-2024")</f>
        <v/>
      </c>
    </row>
    <row r="109" ht="15" customHeight="1">
      <c r="A109" t="inlineStr">
        <is>
          <t>A 46582-2024</t>
        </is>
      </c>
      <c r="B109" s="1" t="n">
        <v>45582</v>
      </c>
      <c r="C109" s="1" t="n">
        <v>45827</v>
      </c>
      <c r="D109" t="inlineStr">
        <is>
          <t>ÖREBRO LÄN</t>
        </is>
      </c>
      <c r="E109" t="inlineStr">
        <is>
          <t>ÖREBRO</t>
        </is>
      </c>
      <c r="G109" t="n">
        <v>4</v>
      </c>
      <c r="H109" t="n">
        <v>1</v>
      </c>
      <c r="I109" t="n">
        <v>0</v>
      </c>
      <c r="J109" t="n">
        <v>1</v>
      </c>
      <c r="K109" t="n">
        <v>0</v>
      </c>
      <c r="L109" t="n">
        <v>0</v>
      </c>
      <c r="M109" t="n">
        <v>0</v>
      </c>
      <c r="N109" t="n">
        <v>0</v>
      </c>
      <c r="O109" t="n">
        <v>1</v>
      </c>
      <c r="P109" t="n">
        <v>0</v>
      </c>
      <c r="Q109" t="n">
        <v>1</v>
      </c>
      <c r="R109" s="2" t="inlineStr">
        <is>
          <t>Spillkråka</t>
        </is>
      </c>
      <c r="S109">
        <f>HYPERLINK("https://klasma.github.io/Logging_1880/artfynd/A 46582-2024 artfynd.xlsx", "A 46582-2024")</f>
        <v/>
      </c>
      <c r="T109">
        <f>HYPERLINK("https://klasma.github.io/Logging_1880/kartor/A 46582-2024 karta.png", "A 46582-2024")</f>
        <v/>
      </c>
      <c r="V109">
        <f>HYPERLINK("https://klasma.github.io/Logging_1880/klagomål/A 46582-2024 FSC-klagomål.docx", "A 46582-2024")</f>
        <v/>
      </c>
      <c r="W109">
        <f>HYPERLINK("https://klasma.github.io/Logging_1880/klagomålsmail/A 46582-2024 FSC-klagomål mail.docx", "A 46582-2024")</f>
        <v/>
      </c>
      <c r="X109">
        <f>HYPERLINK("https://klasma.github.io/Logging_1880/tillsyn/A 46582-2024 tillsynsbegäran.docx", "A 46582-2024")</f>
        <v/>
      </c>
      <c r="Y109">
        <f>HYPERLINK("https://klasma.github.io/Logging_1880/tillsynsmail/A 46582-2024 tillsynsbegäran mail.docx", "A 46582-2024")</f>
        <v/>
      </c>
      <c r="Z109">
        <f>HYPERLINK("https://klasma.github.io/Logging_1880/fåglar/A 46582-2024 prioriterade fågelarter.docx", "A 46582-2024")</f>
        <v/>
      </c>
    </row>
    <row r="110" ht="15" customHeight="1">
      <c r="A110" t="inlineStr">
        <is>
          <t>A 52476-2024</t>
        </is>
      </c>
      <c r="B110" s="1" t="n">
        <v>45609</v>
      </c>
      <c r="C110" s="1" t="n">
        <v>45827</v>
      </c>
      <c r="D110" t="inlineStr">
        <is>
          <t>ÖREBRO LÄN</t>
        </is>
      </c>
      <c r="E110" t="inlineStr">
        <is>
          <t>ÖREBRO</t>
        </is>
      </c>
      <c r="G110" t="n">
        <v>8.699999999999999</v>
      </c>
      <c r="H110" t="n">
        <v>1</v>
      </c>
      <c r="I110" t="n">
        <v>0</v>
      </c>
      <c r="J110" t="n">
        <v>1</v>
      </c>
      <c r="K110" t="n">
        <v>0</v>
      </c>
      <c r="L110" t="n">
        <v>0</v>
      </c>
      <c r="M110" t="n">
        <v>0</v>
      </c>
      <c r="N110" t="n">
        <v>0</v>
      </c>
      <c r="O110" t="n">
        <v>1</v>
      </c>
      <c r="P110" t="n">
        <v>0</v>
      </c>
      <c r="Q110" t="n">
        <v>1</v>
      </c>
      <c r="R110" s="2" t="inlineStr">
        <is>
          <t>Spillkråka</t>
        </is>
      </c>
      <c r="S110">
        <f>HYPERLINK("https://klasma.github.io/Logging_1880/artfynd/A 52476-2024 artfynd.xlsx", "A 52476-2024")</f>
        <v/>
      </c>
      <c r="T110">
        <f>HYPERLINK("https://klasma.github.io/Logging_1880/kartor/A 52476-2024 karta.png", "A 52476-2024")</f>
        <v/>
      </c>
      <c r="V110">
        <f>HYPERLINK("https://klasma.github.io/Logging_1880/klagomål/A 52476-2024 FSC-klagomål.docx", "A 52476-2024")</f>
        <v/>
      </c>
      <c r="W110">
        <f>HYPERLINK("https://klasma.github.io/Logging_1880/klagomålsmail/A 52476-2024 FSC-klagomål mail.docx", "A 52476-2024")</f>
        <v/>
      </c>
      <c r="X110">
        <f>HYPERLINK("https://klasma.github.io/Logging_1880/tillsyn/A 52476-2024 tillsynsbegäran.docx", "A 52476-2024")</f>
        <v/>
      </c>
      <c r="Y110">
        <f>HYPERLINK("https://klasma.github.io/Logging_1880/tillsynsmail/A 52476-2024 tillsynsbegäran mail.docx", "A 52476-2024")</f>
        <v/>
      </c>
      <c r="Z110">
        <f>HYPERLINK("https://klasma.github.io/Logging_1880/fåglar/A 52476-2024 prioriterade fågelarter.docx", "A 52476-2024")</f>
        <v/>
      </c>
    </row>
    <row r="111" ht="15" customHeight="1">
      <c r="A111" t="inlineStr">
        <is>
          <t>A 55805-2024</t>
        </is>
      </c>
      <c r="B111" s="1" t="n">
        <v>45623</v>
      </c>
      <c r="C111" s="1" t="n">
        <v>45827</v>
      </c>
      <c r="D111" t="inlineStr">
        <is>
          <t>ÖREBRO LÄN</t>
        </is>
      </c>
      <c r="E111" t="inlineStr">
        <is>
          <t>ÖREBRO</t>
        </is>
      </c>
      <c r="G111" t="n">
        <v>1.8</v>
      </c>
      <c r="H111" t="n">
        <v>1</v>
      </c>
      <c r="I111" t="n">
        <v>0</v>
      </c>
      <c r="J111" t="n">
        <v>0</v>
      </c>
      <c r="K111" t="n">
        <v>0</v>
      </c>
      <c r="L111" t="n">
        <v>0</v>
      </c>
      <c r="M111" t="n">
        <v>0</v>
      </c>
      <c r="N111" t="n">
        <v>0</v>
      </c>
      <c r="O111" t="n">
        <v>0</v>
      </c>
      <c r="P111" t="n">
        <v>0</v>
      </c>
      <c r="Q111" t="n">
        <v>1</v>
      </c>
      <c r="R111" s="2" t="inlineStr">
        <is>
          <t>Kungsfågel</t>
        </is>
      </c>
      <c r="S111">
        <f>HYPERLINK("https://klasma.github.io/Logging_1880/artfynd/A 55805-2024 artfynd.xlsx", "A 55805-2024")</f>
        <v/>
      </c>
      <c r="T111">
        <f>HYPERLINK("https://klasma.github.io/Logging_1880/kartor/A 55805-2024 karta.png", "A 55805-2024")</f>
        <v/>
      </c>
      <c r="V111">
        <f>HYPERLINK("https://klasma.github.io/Logging_1880/klagomål/A 55805-2024 FSC-klagomål.docx", "A 55805-2024")</f>
        <v/>
      </c>
      <c r="W111">
        <f>HYPERLINK("https://klasma.github.io/Logging_1880/klagomålsmail/A 55805-2024 FSC-klagomål mail.docx", "A 55805-2024")</f>
        <v/>
      </c>
      <c r="X111">
        <f>HYPERLINK("https://klasma.github.io/Logging_1880/tillsyn/A 55805-2024 tillsynsbegäran.docx", "A 55805-2024")</f>
        <v/>
      </c>
      <c r="Y111">
        <f>HYPERLINK("https://klasma.github.io/Logging_1880/tillsynsmail/A 55805-2024 tillsynsbegäran mail.docx", "A 55805-2024")</f>
        <v/>
      </c>
      <c r="Z111">
        <f>HYPERLINK("https://klasma.github.io/Logging_1880/fåglar/A 55805-2024 prioriterade fågelarter.docx", "A 55805-2024")</f>
        <v/>
      </c>
    </row>
    <row r="112" ht="15" customHeight="1">
      <c r="A112" t="inlineStr">
        <is>
          <t>A 55904-2024</t>
        </is>
      </c>
      <c r="B112" s="1" t="n">
        <v>45623</v>
      </c>
      <c r="C112" s="1" t="n">
        <v>45827</v>
      </c>
      <c r="D112" t="inlineStr">
        <is>
          <t>ÖREBRO LÄN</t>
        </is>
      </c>
      <c r="E112" t="inlineStr">
        <is>
          <t>ÖREBRO</t>
        </is>
      </c>
      <c r="G112" t="n">
        <v>1.2</v>
      </c>
      <c r="H112" t="n">
        <v>1</v>
      </c>
      <c r="I112" t="n">
        <v>0</v>
      </c>
      <c r="J112" t="n">
        <v>0</v>
      </c>
      <c r="K112" t="n">
        <v>0</v>
      </c>
      <c r="L112" t="n">
        <v>0</v>
      </c>
      <c r="M112" t="n">
        <v>0</v>
      </c>
      <c r="N112" t="n">
        <v>0</v>
      </c>
      <c r="O112" t="n">
        <v>0</v>
      </c>
      <c r="P112" t="n">
        <v>0</v>
      </c>
      <c r="Q112" t="n">
        <v>1</v>
      </c>
      <c r="R112" s="2" t="inlineStr">
        <is>
          <t>Trana</t>
        </is>
      </c>
      <c r="S112">
        <f>HYPERLINK("https://klasma.github.io/Logging_1880/artfynd/A 55904-2024 artfynd.xlsx", "A 55904-2024")</f>
        <v/>
      </c>
      <c r="T112">
        <f>HYPERLINK("https://klasma.github.io/Logging_1880/kartor/A 55904-2024 karta.png", "A 55904-2024")</f>
        <v/>
      </c>
      <c r="V112">
        <f>HYPERLINK("https://klasma.github.io/Logging_1880/klagomål/A 55904-2024 FSC-klagomål.docx", "A 55904-2024")</f>
        <v/>
      </c>
      <c r="W112">
        <f>HYPERLINK("https://klasma.github.io/Logging_1880/klagomålsmail/A 55904-2024 FSC-klagomål mail.docx", "A 55904-2024")</f>
        <v/>
      </c>
      <c r="X112">
        <f>HYPERLINK("https://klasma.github.io/Logging_1880/tillsyn/A 55904-2024 tillsynsbegäran.docx", "A 55904-2024")</f>
        <v/>
      </c>
      <c r="Y112">
        <f>HYPERLINK("https://klasma.github.io/Logging_1880/tillsynsmail/A 55904-2024 tillsynsbegäran mail.docx", "A 55904-2024")</f>
        <v/>
      </c>
      <c r="Z112">
        <f>HYPERLINK("https://klasma.github.io/Logging_1880/fåglar/A 55904-2024 prioriterade fågelarter.docx", "A 55904-2024")</f>
        <v/>
      </c>
    </row>
    <row r="113" ht="15" customHeight="1">
      <c r="A113" t="inlineStr">
        <is>
          <t>A 57837-2024</t>
        </is>
      </c>
      <c r="B113" s="1" t="n">
        <v>45631</v>
      </c>
      <c r="C113" s="1" t="n">
        <v>45827</v>
      </c>
      <c r="D113" t="inlineStr">
        <is>
          <t>ÖREBRO LÄN</t>
        </is>
      </c>
      <c r="E113" t="inlineStr">
        <is>
          <t>ÖREBRO</t>
        </is>
      </c>
      <c r="G113" t="n">
        <v>3.9</v>
      </c>
      <c r="H113" t="n">
        <v>1</v>
      </c>
      <c r="I113" t="n">
        <v>0</v>
      </c>
      <c r="J113" t="n">
        <v>1</v>
      </c>
      <c r="K113" t="n">
        <v>0</v>
      </c>
      <c r="L113" t="n">
        <v>0</v>
      </c>
      <c r="M113" t="n">
        <v>0</v>
      </c>
      <c r="N113" t="n">
        <v>0</v>
      </c>
      <c r="O113" t="n">
        <v>1</v>
      </c>
      <c r="P113" t="n">
        <v>0</v>
      </c>
      <c r="Q113" t="n">
        <v>1</v>
      </c>
      <c r="R113" s="2" t="inlineStr">
        <is>
          <t>Duvhök</t>
        </is>
      </c>
      <c r="S113">
        <f>HYPERLINK("https://klasma.github.io/Logging_1880/artfynd/A 57837-2024 artfynd.xlsx", "A 57837-2024")</f>
        <v/>
      </c>
      <c r="T113">
        <f>HYPERLINK("https://klasma.github.io/Logging_1880/kartor/A 57837-2024 karta.png", "A 57837-2024")</f>
        <v/>
      </c>
      <c r="V113">
        <f>HYPERLINK("https://klasma.github.io/Logging_1880/klagomål/A 57837-2024 FSC-klagomål.docx", "A 57837-2024")</f>
        <v/>
      </c>
      <c r="W113">
        <f>HYPERLINK("https://klasma.github.io/Logging_1880/klagomålsmail/A 57837-2024 FSC-klagomål mail.docx", "A 57837-2024")</f>
        <v/>
      </c>
      <c r="X113">
        <f>HYPERLINK("https://klasma.github.io/Logging_1880/tillsyn/A 57837-2024 tillsynsbegäran.docx", "A 57837-2024")</f>
        <v/>
      </c>
      <c r="Y113">
        <f>HYPERLINK("https://klasma.github.io/Logging_1880/tillsynsmail/A 57837-2024 tillsynsbegäran mail.docx", "A 57837-2024")</f>
        <v/>
      </c>
      <c r="Z113">
        <f>HYPERLINK("https://klasma.github.io/Logging_1880/fåglar/A 57837-2024 prioriterade fågelarter.docx", "A 57837-2024")</f>
        <v/>
      </c>
    </row>
    <row r="114" ht="15" customHeight="1">
      <c r="A114" t="inlineStr">
        <is>
          <t>A 57920-2024</t>
        </is>
      </c>
      <c r="B114" s="1" t="n">
        <v>45631</v>
      </c>
      <c r="C114" s="1" t="n">
        <v>45827</v>
      </c>
      <c r="D114" t="inlineStr">
        <is>
          <t>ÖREBRO LÄN</t>
        </is>
      </c>
      <c r="E114" t="inlineStr">
        <is>
          <t>ÖREBRO</t>
        </is>
      </c>
      <c r="G114" t="n">
        <v>2.3</v>
      </c>
      <c r="H114" t="n">
        <v>1</v>
      </c>
      <c r="I114" t="n">
        <v>0</v>
      </c>
      <c r="J114" t="n">
        <v>0</v>
      </c>
      <c r="K114" t="n">
        <v>0</v>
      </c>
      <c r="L114" t="n">
        <v>0</v>
      </c>
      <c r="M114" t="n">
        <v>0</v>
      </c>
      <c r="N114" t="n">
        <v>0</v>
      </c>
      <c r="O114" t="n">
        <v>0</v>
      </c>
      <c r="P114" t="n">
        <v>0</v>
      </c>
      <c r="Q114" t="n">
        <v>1</v>
      </c>
      <c r="R114" s="2" t="inlineStr">
        <is>
          <t>Kungsfågel</t>
        </is>
      </c>
      <c r="S114">
        <f>HYPERLINK("https://klasma.github.io/Logging_1880/artfynd/A 57920-2024 artfynd.xlsx", "A 57920-2024")</f>
        <v/>
      </c>
      <c r="T114">
        <f>HYPERLINK("https://klasma.github.io/Logging_1880/kartor/A 57920-2024 karta.png", "A 57920-2024")</f>
        <v/>
      </c>
      <c r="V114">
        <f>HYPERLINK("https://klasma.github.io/Logging_1880/klagomål/A 57920-2024 FSC-klagomål.docx", "A 57920-2024")</f>
        <v/>
      </c>
      <c r="W114">
        <f>HYPERLINK("https://klasma.github.io/Logging_1880/klagomålsmail/A 57920-2024 FSC-klagomål mail.docx", "A 57920-2024")</f>
        <v/>
      </c>
      <c r="X114">
        <f>HYPERLINK("https://klasma.github.io/Logging_1880/tillsyn/A 57920-2024 tillsynsbegäran.docx", "A 57920-2024")</f>
        <v/>
      </c>
      <c r="Y114">
        <f>HYPERLINK("https://klasma.github.io/Logging_1880/tillsynsmail/A 57920-2024 tillsynsbegäran mail.docx", "A 57920-2024")</f>
        <v/>
      </c>
      <c r="Z114">
        <f>HYPERLINK("https://klasma.github.io/Logging_1880/fåglar/A 57920-2024 prioriterade fågelarter.docx", "A 57920-2024")</f>
        <v/>
      </c>
    </row>
    <row r="115" ht="15" customHeight="1">
      <c r="A115" t="inlineStr">
        <is>
          <t>A 11501-2025</t>
        </is>
      </c>
      <c r="B115" s="1" t="n">
        <v>45726</v>
      </c>
      <c r="C115" s="1" t="n">
        <v>45827</v>
      </c>
      <c r="D115" t="inlineStr">
        <is>
          <t>ÖREBRO LÄN</t>
        </is>
      </c>
      <c r="E115" t="inlineStr">
        <is>
          <t>ÖREBRO</t>
        </is>
      </c>
      <c r="G115" t="n">
        <v>0.8</v>
      </c>
      <c r="H115" t="n">
        <v>1</v>
      </c>
      <c r="I115" t="n">
        <v>0</v>
      </c>
      <c r="J115" t="n">
        <v>0</v>
      </c>
      <c r="K115" t="n">
        <v>0</v>
      </c>
      <c r="L115" t="n">
        <v>0</v>
      </c>
      <c r="M115" t="n">
        <v>0</v>
      </c>
      <c r="N115" t="n">
        <v>0</v>
      </c>
      <c r="O115" t="n">
        <v>0</v>
      </c>
      <c r="P115" t="n">
        <v>0</v>
      </c>
      <c r="Q115" t="n">
        <v>1</v>
      </c>
      <c r="R115" s="2" t="inlineStr">
        <is>
          <t>Kopparödla</t>
        </is>
      </c>
      <c r="S115">
        <f>HYPERLINK("https://klasma.github.io/Logging_181880/artfynd/A 11501-2025 artfynd.xlsx", "A 11501-2025")</f>
        <v/>
      </c>
      <c r="T115">
        <f>HYPERLINK("https://klasma.github.io/Logging_181880/kartor/A 11501-2025 karta.png", "A 11501-2025")</f>
        <v/>
      </c>
      <c r="V115">
        <f>HYPERLINK("https://klasma.github.io/Logging_181880/klagomål/A 11501-2025 FSC-klagomål.docx", "A 11501-2025")</f>
        <v/>
      </c>
      <c r="W115">
        <f>HYPERLINK("https://klasma.github.io/Logging_181880/klagomålsmail/A 11501-2025 FSC-klagomål mail.docx", "A 11501-2025")</f>
        <v/>
      </c>
      <c r="X115">
        <f>HYPERLINK("https://klasma.github.io/Logging_181880/tillsyn/A 11501-2025 tillsynsbegäran.docx", "A 11501-2025")</f>
        <v/>
      </c>
      <c r="Y115">
        <f>HYPERLINK("https://klasma.github.io/Logging_181880/tillsynsmail/A 11501-2025 tillsynsbegäran mail.docx", "A 11501-2025")</f>
        <v/>
      </c>
    </row>
    <row r="116" ht="15" customHeight="1">
      <c r="A116" t="inlineStr">
        <is>
          <t>A 14956-2025</t>
        </is>
      </c>
      <c r="B116" s="1" t="n">
        <v>45743</v>
      </c>
      <c r="C116" s="1" t="n">
        <v>45827</v>
      </c>
      <c r="D116" t="inlineStr">
        <is>
          <t>ÖREBRO LÄN</t>
        </is>
      </c>
      <c r="E116" t="inlineStr">
        <is>
          <t>ÖREBRO</t>
        </is>
      </c>
      <c r="G116" t="n">
        <v>5.2</v>
      </c>
      <c r="H116" t="n">
        <v>0</v>
      </c>
      <c r="I116" t="n">
        <v>1</v>
      </c>
      <c r="J116" t="n">
        <v>0</v>
      </c>
      <c r="K116" t="n">
        <v>0</v>
      </c>
      <c r="L116" t="n">
        <v>0</v>
      </c>
      <c r="M116" t="n">
        <v>0</v>
      </c>
      <c r="N116" t="n">
        <v>0</v>
      </c>
      <c r="O116" t="n">
        <v>0</v>
      </c>
      <c r="P116" t="n">
        <v>0</v>
      </c>
      <c r="Q116" t="n">
        <v>1</v>
      </c>
      <c r="R116" s="2" t="inlineStr">
        <is>
          <t>Kalktallört</t>
        </is>
      </c>
      <c r="S116">
        <f>HYPERLINK("https://klasma.github.io/Logging_181880/artfynd/A 14956-2025 artfynd.xlsx", "A 14956-2025")</f>
        <v/>
      </c>
      <c r="T116">
        <f>HYPERLINK("https://klasma.github.io/Logging_181880/kartor/A 14956-2025 karta.png", "A 14956-2025")</f>
        <v/>
      </c>
      <c r="V116">
        <f>HYPERLINK("https://klasma.github.io/Logging_181880/klagomål/A 14956-2025 FSC-klagomål.docx", "A 14956-2025")</f>
        <v/>
      </c>
      <c r="W116">
        <f>HYPERLINK("https://klasma.github.io/Logging_181880/klagomålsmail/A 14956-2025 FSC-klagomål mail.docx", "A 14956-2025")</f>
        <v/>
      </c>
      <c r="X116">
        <f>HYPERLINK("https://klasma.github.io/Logging_181880/tillsyn/A 14956-2025 tillsynsbegäran.docx", "A 14956-2025")</f>
        <v/>
      </c>
      <c r="Y116">
        <f>HYPERLINK("https://klasma.github.io/Logging_181880/tillsynsmail/A 14956-2025 tillsynsbegäran mail.docx", "A 14956-2025")</f>
        <v/>
      </c>
    </row>
    <row r="117" ht="15" customHeight="1">
      <c r="A117" t="inlineStr">
        <is>
          <t>A 15550-2025</t>
        </is>
      </c>
      <c r="B117" s="1" t="n">
        <v>45747</v>
      </c>
      <c r="C117" s="1" t="n">
        <v>45827</v>
      </c>
      <c r="D117" t="inlineStr">
        <is>
          <t>ÖREBRO LÄN</t>
        </is>
      </c>
      <c r="E117" t="inlineStr">
        <is>
          <t>ÖREBRO</t>
        </is>
      </c>
      <c r="G117" t="n">
        <v>2.5</v>
      </c>
      <c r="H117" t="n">
        <v>0</v>
      </c>
      <c r="I117" t="n">
        <v>0</v>
      </c>
      <c r="J117" t="n">
        <v>1</v>
      </c>
      <c r="K117" t="n">
        <v>0</v>
      </c>
      <c r="L117" t="n">
        <v>0</v>
      </c>
      <c r="M117" t="n">
        <v>0</v>
      </c>
      <c r="N117" t="n">
        <v>0</v>
      </c>
      <c r="O117" t="n">
        <v>1</v>
      </c>
      <c r="P117" t="n">
        <v>0</v>
      </c>
      <c r="Q117" t="n">
        <v>1</v>
      </c>
      <c r="R117" s="2" t="inlineStr">
        <is>
          <t>Vedtrappmossa</t>
        </is>
      </c>
      <c r="S117">
        <f>HYPERLINK("https://klasma.github.io/Logging_181880/artfynd/A 15550-2025 artfynd.xlsx", "A 15550-2025")</f>
        <v/>
      </c>
      <c r="T117">
        <f>HYPERLINK("https://klasma.github.io/Logging_181880/kartor/A 15550-2025 karta.png", "A 15550-2025")</f>
        <v/>
      </c>
      <c r="V117">
        <f>HYPERLINK("https://klasma.github.io/Logging_181880/klagomål/A 15550-2025 FSC-klagomål.docx", "A 15550-2025")</f>
        <v/>
      </c>
      <c r="W117">
        <f>HYPERLINK("https://klasma.github.io/Logging_181880/klagomålsmail/A 15550-2025 FSC-klagomål mail.docx", "A 15550-2025")</f>
        <v/>
      </c>
      <c r="X117">
        <f>HYPERLINK("https://klasma.github.io/Logging_181880/tillsyn/A 15550-2025 tillsynsbegäran.docx", "A 15550-2025")</f>
        <v/>
      </c>
      <c r="Y117">
        <f>HYPERLINK("https://klasma.github.io/Logging_181880/tillsynsmail/A 15550-2025 tillsynsbegäran mail.docx", "A 15550-2025")</f>
        <v/>
      </c>
    </row>
    <row r="118" ht="15" customHeight="1">
      <c r="A118" t="inlineStr">
        <is>
          <t>A 23998-2025</t>
        </is>
      </c>
      <c r="B118" s="1" t="n">
        <v>45796</v>
      </c>
      <c r="C118" s="1" t="n">
        <v>45827</v>
      </c>
      <c r="D118" t="inlineStr">
        <is>
          <t>ÖREBRO LÄN</t>
        </is>
      </c>
      <c r="E118" t="inlineStr">
        <is>
          <t>ÖREBRO</t>
        </is>
      </c>
      <c r="G118" t="n">
        <v>4.7</v>
      </c>
      <c r="H118" t="n">
        <v>0</v>
      </c>
      <c r="I118" t="n">
        <v>1</v>
      </c>
      <c r="J118" t="n">
        <v>0</v>
      </c>
      <c r="K118" t="n">
        <v>0</v>
      </c>
      <c r="L118" t="n">
        <v>0</v>
      </c>
      <c r="M118" t="n">
        <v>0</v>
      </c>
      <c r="N118" t="n">
        <v>0</v>
      </c>
      <c r="O118" t="n">
        <v>0</v>
      </c>
      <c r="P118" t="n">
        <v>0</v>
      </c>
      <c r="Q118" t="n">
        <v>1</v>
      </c>
      <c r="R118" s="2" t="inlineStr">
        <is>
          <t>Kambräken</t>
        </is>
      </c>
      <c r="S118">
        <f>HYPERLINK("https://klasma.github.io/Logging_181880/artfynd/A 23998-2025 artfynd.xlsx", "A 23998-2025")</f>
        <v/>
      </c>
      <c r="T118">
        <f>HYPERLINK("https://klasma.github.io/Logging_181880/kartor/A 23998-2025 karta.png", "A 23998-2025")</f>
        <v/>
      </c>
      <c r="V118">
        <f>HYPERLINK("https://klasma.github.io/Logging_181880/klagomål/A 23998-2025 FSC-klagomål.docx", "A 23998-2025")</f>
        <v/>
      </c>
      <c r="W118">
        <f>HYPERLINK("https://klasma.github.io/Logging_181880/klagomålsmail/A 23998-2025 FSC-klagomål mail.docx", "A 23998-2025")</f>
        <v/>
      </c>
      <c r="X118">
        <f>HYPERLINK("https://klasma.github.io/Logging_181880/tillsyn/A 23998-2025 tillsynsbegäran.docx", "A 23998-2025")</f>
        <v/>
      </c>
      <c r="Y118">
        <f>HYPERLINK("https://klasma.github.io/Logging_181880/tillsynsmail/A 23998-2025 tillsynsbegäran mail.docx", "A 23998-2025")</f>
        <v/>
      </c>
    </row>
    <row r="119" ht="15" customHeight="1">
      <c r="A119" t="inlineStr">
        <is>
          <t>A 18034-2019</t>
        </is>
      </c>
      <c r="B119" s="1" t="n">
        <v>43557</v>
      </c>
      <c r="C119" s="1" t="n">
        <v>45827</v>
      </c>
      <c r="D119" t="inlineStr">
        <is>
          <t>ÖREBRO LÄN</t>
        </is>
      </c>
      <c r="E119" t="inlineStr">
        <is>
          <t>ÖREBRO</t>
        </is>
      </c>
      <c r="G119" t="n">
        <v>1</v>
      </c>
      <c r="H119" t="n">
        <v>0</v>
      </c>
      <c r="I119" t="n">
        <v>0</v>
      </c>
      <c r="J119" t="n">
        <v>0</v>
      </c>
      <c r="K119" t="n">
        <v>0</v>
      </c>
      <c r="L119" t="n">
        <v>0</v>
      </c>
      <c r="M119" t="n">
        <v>0</v>
      </c>
      <c r="N119" t="n">
        <v>0</v>
      </c>
      <c r="O119" t="n">
        <v>0</v>
      </c>
      <c r="P119" t="n">
        <v>0</v>
      </c>
      <c r="Q119" t="n">
        <v>0</v>
      </c>
      <c r="R119" s="2" t="inlineStr"/>
    </row>
    <row r="120" ht="15" customHeight="1">
      <c r="A120" t="inlineStr">
        <is>
          <t>A 19042-2019</t>
        </is>
      </c>
      <c r="B120" s="1" t="n">
        <v>43563</v>
      </c>
      <c r="C120" s="1" t="n">
        <v>45827</v>
      </c>
      <c r="D120" t="inlineStr">
        <is>
          <t>ÖREBRO LÄN</t>
        </is>
      </c>
      <c r="E120" t="inlineStr">
        <is>
          <t>ÖREBRO</t>
        </is>
      </c>
      <c r="G120" t="n">
        <v>2.8</v>
      </c>
      <c r="H120" t="n">
        <v>0</v>
      </c>
      <c r="I120" t="n">
        <v>0</v>
      </c>
      <c r="J120" t="n">
        <v>0</v>
      </c>
      <c r="K120" t="n">
        <v>0</v>
      </c>
      <c r="L120" t="n">
        <v>0</v>
      </c>
      <c r="M120" t="n">
        <v>0</v>
      </c>
      <c r="N120" t="n">
        <v>0</v>
      </c>
      <c r="O120" t="n">
        <v>0</v>
      </c>
      <c r="P120" t="n">
        <v>0</v>
      </c>
      <c r="Q120" t="n">
        <v>0</v>
      </c>
      <c r="R120" s="2" t="inlineStr"/>
    </row>
    <row r="121" ht="15" customHeight="1">
      <c r="A121" t="inlineStr">
        <is>
          <t>A 19047-2019</t>
        </is>
      </c>
      <c r="B121" s="1" t="n">
        <v>43563</v>
      </c>
      <c r="C121" s="1" t="n">
        <v>45827</v>
      </c>
      <c r="D121" t="inlineStr">
        <is>
          <t>ÖREBRO LÄN</t>
        </is>
      </c>
      <c r="E121" t="inlineStr">
        <is>
          <t>ÖREBRO</t>
        </is>
      </c>
      <c r="G121" t="n">
        <v>1.3</v>
      </c>
      <c r="H121" t="n">
        <v>0</v>
      </c>
      <c r="I121" t="n">
        <v>0</v>
      </c>
      <c r="J121" t="n">
        <v>0</v>
      </c>
      <c r="K121" t="n">
        <v>0</v>
      </c>
      <c r="L121" t="n">
        <v>0</v>
      </c>
      <c r="M121" t="n">
        <v>0</v>
      </c>
      <c r="N121" t="n">
        <v>0</v>
      </c>
      <c r="O121" t="n">
        <v>0</v>
      </c>
      <c r="P121" t="n">
        <v>0</v>
      </c>
      <c r="Q121" t="n">
        <v>0</v>
      </c>
      <c r="R121" s="2" t="inlineStr"/>
    </row>
    <row r="122" ht="15" customHeight="1">
      <c r="A122" t="inlineStr">
        <is>
          <t>A 19049-2019</t>
        </is>
      </c>
      <c r="B122" s="1" t="n">
        <v>43563</v>
      </c>
      <c r="C122" s="1" t="n">
        <v>45827</v>
      </c>
      <c r="D122" t="inlineStr">
        <is>
          <t>ÖREBRO LÄN</t>
        </is>
      </c>
      <c r="E122" t="inlineStr">
        <is>
          <t>ÖREBRO</t>
        </is>
      </c>
      <c r="G122" t="n">
        <v>2.1</v>
      </c>
      <c r="H122" t="n">
        <v>0</v>
      </c>
      <c r="I122" t="n">
        <v>0</v>
      </c>
      <c r="J122" t="n">
        <v>0</v>
      </c>
      <c r="K122" t="n">
        <v>0</v>
      </c>
      <c r="L122" t="n">
        <v>0</v>
      </c>
      <c r="M122" t="n">
        <v>0</v>
      </c>
      <c r="N122" t="n">
        <v>0</v>
      </c>
      <c r="O122" t="n">
        <v>0</v>
      </c>
      <c r="P122" t="n">
        <v>0</v>
      </c>
      <c r="Q122" t="n">
        <v>0</v>
      </c>
      <c r="R122" s="2" t="inlineStr"/>
    </row>
    <row r="123" ht="15" customHeight="1">
      <c r="A123" t="inlineStr">
        <is>
          <t>A 19044-2019</t>
        </is>
      </c>
      <c r="B123" s="1" t="n">
        <v>43563</v>
      </c>
      <c r="C123" s="1" t="n">
        <v>45827</v>
      </c>
      <c r="D123" t="inlineStr">
        <is>
          <t>ÖREBRO LÄN</t>
        </is>
      </c>
      <c r="E123" t="inlineStr">
        <is>
          <t>ÖREBRO</t>
        </is>
      </c>
      <c r="G123" t="n">
        <v>0.8</v>
      </c>
      <c r="H123" t="n">
        <v>0</v>
      </c>
      <c r="I123" t="n">
        <v>0</v>
      </c>
      <c r="J123" t="n">
        <v>0</v>
      </c>
      <c r="K123" t="n">
        <v>0</v>
      </c>
      <c r="L123" t="n">
        <v>0</v>
      </c>
      <c r="M123" t="n">
        <v>0</v>
      </c>
      <c r="N123" t="n">
        <v>0</v>
      </c>
      <c r="O123" t="n">
        <v>0</v>
      </c>
      <c r="P123" t="n">
        <v>0</v>
      </c>
      <c r="Q123" t="n">
        <v>0</v>
      </c>
      <c r="R123" s="2" t="inlineStr"/>
    </row>
    <row r="124" ht="15" customHeight="1">
      <c r="A124" t="inlineStr">
        <is>
          <t>A 19048-2019</t>
        </is>
      </c>
      <c r="B124" s="1" t="n">
        <v>43563</v>
      </c>
      <c r="C124" s="1" t="n">
        <v>45827</v>
      </c>
      <c r="D124" t="inlineStr">
        <is>
          <t>ÖREBRO LÄN</t>
        </is>
      </c>
      <c r="E124" t="inlineStr">
        <is>
          <t>ÖREBRO</t>
        </is>
      </c>
      <c r="G124" t="n">
        <v>1.8</v>
      </c>
      <c r="H124" t="n">
        <v>0</v>
      </c>
      <c r="I124" t="n">
        <v>0</v>
      </c>
      <c r="J124" t="n">
        <v>0</v>
      </c>
      <c r="K124" t="n">
        <v>0</v>
      </c>
      <c r="L124" t="n">
        <v>0</v>
      </c>
      <c r="M124" t="n">
        <v>0</v>
      </c>
      <c r="N124" t="n">
        <v>0</v>
      </c>
      <c r="O124" t="n">
        <v>0</v>
      </c>
      <c r="P124" t="n">
        <v>0</v>
      </c>
      <c r="Q124" t="n">
        <v>0</v>
      </c>
      <c r="R124" s="2" t="inlineStr"/>
    </row>
    <row r="125" ht="15" customHeight="1">
      <c r="A125" t="inlineStr">
        <is>
          <t>A 19045-2019</t>
        </is>
      </c>
      <c r="B125" s="1" t="n">
        <v>43563</v>
      </c>
      <c r="C125" s="1" t="n">
        <v>45827</v>
      </c>
      <c r="D125" t="inlineStr">
        <is>
          <t>ÖREBRO LÄN</t>
        </is>
      </c>
      <c r="E125" t="inlineStr">
        <is>
          <t>ÖREBRO</t>
        </is>
      </c>
      <c r="G125" t="n">
        <v>0.9</v>
      </c>
      <c r="H125" t="n">
        <v>0</v>
      </c>
      <c r="I125" t="n">
        <v>0</v>
      </c>
      <c r="J125" t="n">
        <v>0</v>
      </c>
      <c r="K125" t="n">
        <v>0</v>
      </c>
      <c r="L125" t="n">
        <v>0</v>
      </c>
      <c r="M125" t="n">
        <v>0</v>
      </c>
      <c r="N125" t="n">
        <v>0</v>
      </c>
      <c r="O125" t="n">
        <v>0</v>
      </c>
      <c r="P125" t="n">
        <v>0</v>
      </c>
      <c r="Q125" t="n">
        <v>0</v>
      </c>
      <c r="R125" s="2" t="inlineStr"/>
    </row>
    <row r="126" ht="15" customHeight="1">
      <c r="A126" t="inlineStr">
        <is>
          <t>A 19046-2019</t>
        </is>
      </c>
      <c r="B126" s="1" t="n">
        <v>43563</v>
      </c>
      <c r="C126" s="1" t="n">
        <v>45827</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20232-2019</t>
        </is>
      </c>
      <c r="B127" s="1" t="n">
        <v>43571</v>
      </c>
      <c r="C127" s="1" t="n">
        <v>45827</v>
      </c>
      <c r="D127" t="inlineStr">
        <is>
          <t>ÖREBRO LÄN</t>
        </is>
      </c>
      <c r="E127" t="inlineStr">
        <is>
          <t>ÖREBRO</t>
        </is>
      </c>
      <c r="G127" t="n">
        <v>1.1</v>
      </c>
      <c r="H127" t="n">
        <v>0</v>
      </c>
      <c r="I127" t="n">
        <v>0</v>
      </c>
      <c r="J127" t="n">
        <v>0</v>
      </c>
      <c r="K127" t="n">
        <v>0</v>
      </c>
      <c r="L127" t="n">
        <v>0</v>
      </c>
      <c r="M127" t="n">
        <v>0</v>
      </c>
      <c r="N127" t="n">
        <v>0</v>
      </c>
      <c r="O127" t="n">
        <v>0</v>
      </c>
      <c r="P127" t="n">
        <v>0</v>
      </c>
      <c r="Q127" t="n">
        <v>0</v>
      </c>
      <c r="R127" s="2" t="inlineStr"/>
    </row>
    <row r="128" ht="15" customHeight="1">
      <c r="A128" t="inlineStr">
        <is>
          <t>A 20609-2019</t>
        </is>
      </c>
      <c r="B128" s="1" t="n">
        <v>43572</v>
      </c>
      <c r="C128" s="1" t="n">
        <v>45827</v>
      </c>
      <c r="D128" t="inlineStr">
        <is>
          <t>ÖREBRO LÄN</t>
        </is>
      </c>
      <c r="E128" t="inlineStr">
        <is>
          <t>ÖREBRO</t>
        </is>
      </c>
      <c r="G128" t="n">
        <v>1.7</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45827</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45827</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45827</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45827</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45827</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45827</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45827</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45827</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45827</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45827</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45827</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45827</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45827</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45827</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45827</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45827</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45827</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45827</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45827</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45827</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45827</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45827</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45827</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45827</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45827</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45827</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45827</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45827</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45827</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45827</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45827</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45827</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45827</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45827</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45827</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45827</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45827</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45827</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45827</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45827</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45827</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45827</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45827</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45827</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45827</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45827</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45827</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45827</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45827</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45827</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45827</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45827</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45827</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45827</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45827</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45827</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45827</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45827</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45827</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45827</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45827</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45827</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45827</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45827</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45827</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45827</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45827</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45827</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45827</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45827</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45827</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45827</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45827</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45827</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45827</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45827</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45827</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45827</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45827</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45827</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45827</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45827</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45827</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45827</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45827</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45827</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45827</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45827</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45827</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45827</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45827</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45827</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45827</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45827</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45827</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45827</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45827</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45827</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45827</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45827</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45827</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45827</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45827</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45827</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45827</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45827</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45827</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45827</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45827</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45827</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45827</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45827</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45827</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45827</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45827</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45827</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45827</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45827</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45827</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45827</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45827</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45827</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45827</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45827</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45827</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45827</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45827</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45827</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45827</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45827</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45827</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45827</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45827</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45827</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45827</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45827</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45827</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45827</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45827</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45827</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45827</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45827</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45827</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45827</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45827</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45827</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45827</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45827</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45827</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45827</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45827</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45827</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45827</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45827</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45827</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45827</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45827</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45827</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45827</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45827</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45827</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45827</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45827</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45827</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45827</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45827</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45827</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45827</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45827</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45827</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45827</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45827</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45827</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45827</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45827</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45827</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45827</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45827</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45827</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45827</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45827</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45827</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45827</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45827</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45827</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45827</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45827</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45827</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45827</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45827</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45827</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45827</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45827</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45827</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45827</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45827</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45827</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45827</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45827</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45827</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45827</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45827</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45827</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45827</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45827</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45827</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45827</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45827</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45827</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45827</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45827</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45827</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45827</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45827</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45827</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45827</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45827</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45827</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45827</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45827</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45827</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45827</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45827</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45827</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45827</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45827</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45827</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45827</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45827</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45827</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45827</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45827</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45827</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45827</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45827</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45827</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45827</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45827</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45827</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45827</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45827</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45827</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45827</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45827</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45827</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45827</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45827</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45827</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45827</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45827</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45827</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45827</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45827</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45827</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45827</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45827</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45827</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45827</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45827</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45827</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45827</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45827</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45827</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45827</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45827</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45827</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45827</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45827</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45827</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45827</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45827</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45827</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45827</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45827</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45827</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45827</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45827</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45827</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45827</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45827</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45827</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45827</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45827</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45827</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45827</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45827</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45827</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45827</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45827</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45827</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45827</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45827</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45827</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45827</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45827</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45827</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45827</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45827</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45827</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45827</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45827</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45827</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45827</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45827</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45827</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45827</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45827</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45827</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45827</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45827</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45827</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45827</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45827</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45827</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45827</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45827</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45827</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45827</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45827</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45827</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45827</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45827</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45827</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45827</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45827</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45827</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45827</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45827</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45827</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45827</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45827</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45827</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45827</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45827</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45827</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45827</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45827</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45827</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45827</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45827</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45827</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45827</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45827</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45827</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45827</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45827</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45827</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45827</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45827</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45827</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45827</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45827</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45827</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45827</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45827</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45827</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45827</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45827</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45827</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45827</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45827</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45827</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45827</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45827</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45827</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45827</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45827</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45827</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45827</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45827</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45827</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45827</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45827</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45827</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45827</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45827</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45827</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45827</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45827</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45827</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45827</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45827</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45827</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45827</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45827</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45827</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45827</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45827</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45827</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45827</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45827</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45827</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45827</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45827</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45827</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45827</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45827</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45827</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45827</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45827</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45827</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45827</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45827</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45827</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45827</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45827</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45827</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45827</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45827</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45827</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45827</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45827</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45827</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45827</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45827</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45827</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45827</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45827</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45827</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45827</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45827</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45827</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45827</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45827</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45827</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45827</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45827</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45827</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45827</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45827</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45827</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45827</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45827</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45827</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45827</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45827</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45827</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45827</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45827</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45827</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45827</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45827</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45827</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45827</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45827</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45827</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45827</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45827</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45827</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45827</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45827</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45827</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45827</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45827</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45827</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45827</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45827</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45827</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45827</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45827</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45827</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45827</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45827</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45827</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45827</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45827</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45827</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45827</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45827</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45827</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45827</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45827</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45827</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45827</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45827</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45827</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45827</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45827</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45827</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45827</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45827</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45827</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45827</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45827</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45827</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45827</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45827</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45827</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45827</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45827</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45827</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45827</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45827</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45827</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45827</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45827</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45827</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45827</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45827</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45827</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45827</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45827</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45827</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45827</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45827</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45827</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45827</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45827</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45827</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45827</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45827</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45827</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45827</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45827</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45827</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45827</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45827</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45827</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45827</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45827</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45827</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45827</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45827</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45827</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45827</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45827</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45827</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45827</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45827</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45827</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45827</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45827</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45827</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45827</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45827</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45827</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45827</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45827</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45827</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45827</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45827</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45827</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45827</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45827</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45827</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45827</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45827</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45827</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45827</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45827</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45827</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45827</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45827</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45827</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45827</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45827</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45827</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45827</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45827</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45827</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45827</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45827</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45827</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45827</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45827</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45827</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45827</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45827</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45827</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45827</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45827</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45827</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45827</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45827</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45827</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45827</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45827</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45827</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45827</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45827</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45827</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45827</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45827</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45827</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45827</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45827</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45827</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45827</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45827</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45827</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45827</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45827</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45827</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45827</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45827</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45827</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45827</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45827</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45827</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45827</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45827</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45827</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45827</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45827</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45827</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45827</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45827</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45827</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45827</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45827</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45827</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45827</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45827</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45827</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45827</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45827</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45827</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45827</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45827</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45827</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45827</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45827</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45827</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45827</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45827</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45827</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45827</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45827</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45827</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45827</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45827</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45827</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45827</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45827</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45827</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45827</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45827</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45827</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45827</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45827</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45827</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45827</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45827</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45827</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45827</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45827</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45827</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45827</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45827</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45827</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45827</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45827</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45827</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45827</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45827</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45827</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45827</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45827</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45827</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45827</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45827</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45827</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45827</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45827</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45827</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45827</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45827</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45827</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45827</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45827</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45827</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45827</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45827</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45827</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45827</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45827</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45827</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45827</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45827</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45827</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45827</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45827</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45827</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45827</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45827</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45827</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45827</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45827</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45827</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45827</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45827</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45827</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45827</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45827</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45827</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45827</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45827</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45827</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45827</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45827</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45827</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45827</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45827</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45827</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45827</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45827</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45827</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45827</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45827</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45827</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45827</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45827</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45827</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45827</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45827</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45827</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45827</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45827</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45827</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45827</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45827</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45827</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45827</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45827</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45827</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45827</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45827</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45827</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45827</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45827</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45827</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45827</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45827</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45827</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45827</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45827</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45827</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45827</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45827</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45827</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45827</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45827</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45827</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45827</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45827</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45827</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45827</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45827</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45827</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45827</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45827</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45827</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45827</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45827</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45827</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45827</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45827</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45827</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45827</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45827</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45827</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45827</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45827</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45827</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45827</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45827</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45827</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45827</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45827</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45827</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45827</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45827</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45827</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45827</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45827</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45827</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45827</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45827</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45827</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45827</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45827</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45827</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45827</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45827</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45827</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45827</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45827</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45827</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45827</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45827</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45827</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45827</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45827</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45827</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45827</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45827</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45827</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45827</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45827</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45827</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45827</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45827</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45827</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45827</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45827</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45827</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45827</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45827</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45827</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45827</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45827</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45827</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45827</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45827</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45827</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45827</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45827</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45827</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45827</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45827</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45827</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45827</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45827</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45827</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45827</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45827</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45827</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45827</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45827</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45827</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45827</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45827</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45827</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45827</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45827</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45827</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45827</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45827</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45827</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45827</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45827</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45827</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45827</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45827</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45827</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45827</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45827</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45827</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45827</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45827</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45827</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45827</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45827</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45827</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45827</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45827</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45827</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45827</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45827</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45827</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45827</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45827</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45827</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45827</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45827</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45827</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45827</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45827</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45827</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45827</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45827</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45827</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45827</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45827</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45827</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45827</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45827</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45827</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45827</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45827</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45827</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45827</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45827</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45827</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45827</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45827</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45827</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45827</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45827</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45827</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45827</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45827</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45827</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45827</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45827</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45827</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45827</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45827</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45827</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45827</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45827</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45827</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45827</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45827</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45827</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45827</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45827</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45827</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45827</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45827</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45827</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45827</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45827</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45827</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45827</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45827</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45827</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45827</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45827</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45827</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45827</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45827</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45827</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45827</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45827</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45827</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45827</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45827</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45827</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45827</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45827</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45827</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45827</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45827</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45827</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45827</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45827</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45827</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45827</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45827</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45827</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45827</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45827</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45827</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45827</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45827</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45827</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45827</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45827</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45827</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45827</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45827</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45827</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45827</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45827</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45827</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45827</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45827</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45827</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45827</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45827</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45827</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45827</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45827</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45827</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45827</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45827</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45827</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45827</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45827</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45827</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45827</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45827</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45827</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45827</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45827</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45827</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45827</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45827</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45827</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45827</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45827</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45827</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45827</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45827</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45827</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45827</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45827</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45827</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45827</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45827</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45827</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45827</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45827</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45827</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45827</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45827</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45827</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45827</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45827</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45827</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45827</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45827</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45827</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45827</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45827</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45827</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45827</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45827</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45827</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45827</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45827</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45827</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45827</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45827</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45827</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45827</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45827</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45827</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45827</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45827</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45827</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45827</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45827</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45827</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45827</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45827</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45827</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45827</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45827</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45827</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45827</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45827</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45827</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45827</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45827</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45827</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45827</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45827</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45827</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45827</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45827</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45827</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45827</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45827</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45827</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45827</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45827</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24192-2025</t>
        </is>
      </c>
      <c r="B1177" s="1" t="n">
        <v>45796</v>
      </c>
      <c r="C1177" s="1" t="n">
        <v>45827</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25519-2025</t>
        </is>
      </c>
      <c r="B1178" s="1" t="n">
        <v>45803</v>
      </c>
      <c r="C1178" s="1" t="n">
        <v>45827</v>
      </c>
      <c r="D1178" t="inlineStr">
        <is>
          <t>ÖREBRO LÄN</t>
        </is>
      </c>
      <c r="E1178" t="inlineStr">
        <is>
          <t>ÖREBRO</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25578-2025</t>
        </is>
      </c>
      <c r="B1179" s="1" t="n">
        <v>45803</v>
      </c>
      <c r="C1179" s="1" t="n">
        <v>45827</v>
      </c>
      <c r="D1179" t="inlineStr">
        <is>
          <t>ÖREBRO LÄN</t>
        </is>
      </c>
      <c r="E1179" t="inlineStr">
        <is>
          <t>ÖREBRO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27180-2025</t>
        </is>
      </c>
      <c r="B1180" s="1" t="n">
        <v>45812</v>
      </c>
      <c r="C1180" s="1" t="n">
        <v>45827</v>
      </c>
      <c r="D1180" t="inlineStr">
        <is>
          <t>ÖREBRO LÄN</t>
        </is>
      </c>
      <c r="E1180" t="inlineStr">
        <is>
          <t>ÖREBRO</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27220-2025</t>
        </is>
      </c>
      <c r="B1181" s="1" t="n">
        <v>45812</v>
      </c>
      <c r="C1181" s="1" t="n">
        <v>45827</v>
      </c>
      <c r="D1181" t="inlineStr">
        <is>
          <t>ÖREBRO LÄN</t>
        </is>
      </c>
      <c r="E1181" t="inlineStr">
        <is>
          <t>ÖREBRO</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27225-2025</t>
        </is>
      </c>
      <c r="B1182" s="1" t="n">
        <v>45812</v>
      </c>
      <c r="C1182" s="1" t="n">
        <v>45827</v>
      </c>
      <c r="D1182" t="inlineStr">
        <is>
          <t>ÖREBRO LÄN</t>
        </is>
      </c>
      <c r="E1182" t="inlineStr">
        <is>
          <t>ÖREBRO</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27236-2025</t>
        </is>
      </c>
      <c r="B1183" s="1" t="n">
        <v>45812</v>
      </c>
      <c r="C1183" s="1" t="n">
        <v>45827</v>
      </c>
      <c r="D1183" t="inlineStr">
        <is>
          <t>ÖREBRO LÄN</t>
        </is>
      </c>
      <c r="E1183" t="inlineStr">
        <is>
          <t>ÖREBRO</t>
        </is>
      </c>
      <c r="G1183" t="n">
        <v>13.1</v>
      </c>
      <c r="H1183" t="n">
        <v>0</v>
      </c>
      <c r="I1183" t="n">
        <v>0</v>
      </c>
      <c r="J1183" t="n">
        <v>0</v>
      </c>
      <c r="K1183" t="n">
        <v>0</v>
      </c>
      <c r="L1183" t="n">
        <v>0</v>
      </c>
      <c r="M1183" t="n">
        <v>0</v>
      </c>
      <c r="N1183" t="n">
        <v>0</v>
      </c>
      <c r="O1183" t="n">
        <v>0</v>
      </c>
      <c r="P1183" t="n">
        <v>0</v>
      </c>
      <c r="Q1183" t="n">
        <v>0</v>
      </c>
      <c r="R1183" s="2" t="inlineStr"/>
    </row>
    <row r="1184" ht="15" customHeight="1">
      <c r="A1184" t="inlineStr">
        <is>
          <t>A 27215-2025</t>
        </is>
      </c>
      <c r="B1184" s="1" t="n">
        <v>45812</v>
      </c>
      <c r="C1184" s="1" t="n">
        <v>45827</v>
      </c>
      <c r="D1184" t="inlineStr">
        <is>
          <t>ÖREBRO LÄN</t>
        </is>
      </c>
      <c r="E1184" t="inlineStr">
        <is>
          <t>ÖREBRO</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28120-2025</t>
        </is>
      </c>
      <c r="B1185" s="1" t="n">
        <v>45818</v>
      </c>
      <c r="C1185" s="1" t="n">
        <v>45827</v>
      </c>
      <c r="D1185" t="inlineStr">
        <is>
          <t>ÖREBRO LÄN</t>
        </is>
      </c>
      <c r="E1185" t="inlineStr">
        <is>
          <t>ÖREBRO</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28920-2025</t>
        </is>
      </c>
      <c r="B1186" s="1" t="n">
        <v>45820</v>
      </c>
      <c r="C1186" s="1" t="n">
        <v>45827</v>
      </c>
      <c r="D1186" t="inlineStr">
        <is>
          <t>ÖREBRO LÄN</t>
        </is>
      </c>
      <c r="E1186" t="inlineStr">
        <is>
          <t>ÖREBRO</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28936-2025</t>
        </is>
      </c>
      <c r="B1187" s="1" t="n">
        <v>45820</v>
      </c>
      <c r="C1187" s="1" t="n">
        <v>45827</v>
      </c>
      <c r="D1187" t="inlineStr">
        <is>
          <t>ÖREBRO LÄN</t>
        </is>
      </c>
      <c r="E1187" t="inlineStr">
        <is>
          <t>ÖREBRO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28938-2025</t>
        </is>
      </c>
      <c r="B1188" s="1" t="n">
        <v>45820</v>
      </c>
      <c r="C1188" s="1" t="n">
        <v>45827</v>
      </c>
      <c r="D1188" t="inlineStr">
        <is>
          <t>ÖREBRO LÄN</t>
        </is>
      </c>
      <c r="E1188" t="inlineStr">
        <is>
          <t>ÖREBRO</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29286-2025</t>
        </is>
      </c>
      <c r="B1189" s="1" t="n">
        <v>45824</v>
      </c>
      <c r="C1189" s="1" t="n">
        <v>45827</v>
      </c>
      <c r="D1189" t="inlineStr">
        <is>
          <t>ÖREBRO LÄN</t>
        </is>
      </c>
      <c r="E1189" t="inlineStr">
        <is>
          <t>ÖREBRO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29339-2025</t>
        </is>
      </c>
      <c r="B1190" s="1" t="n">
        <v>45824</v>
      </c>
      <c r="C1190" s="1" t="n">
        <v>45827</v>
      </c>
      <c r="D1190" t="inlineStr">
        <is>
          <t>ÖREBRO LÄN</t>
        </is>
      </c>
      <c r="E1190" t="inlineStr">
        <is>
          <t>ÖREBRO</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29701-2025</t>
        </is>
      </c>
      <c r="B1191" s="1" t="n">
        <v>45825</v>
      </c>
      <c r="C1191" s="1" t="n">
        <v>45827</v>
      </c>
      <c r="D1191" t="inlineStr">
        <is>
          <t>ÖREBRO LÄN</t>
        </is>
      </c>
      <c r="E1191" t="inlineStr">
        <is>
          <t>ÖREBRO</t>
        </is>
      </c>
      <c r="G1191" t="n">
        <v>5.8</v>
      </c>
      <c r="H1191" t="n">
        <v>0</v>
      </c>
      <c r="I1191" t="n">
        <v>0</v>
      </c>
      <c r="J1191" t="n">
        <v>0</v>
      </c>
      <c r="K1191" t="n">
        <v>0</v>
      </c>
      <c r="L1191" t="n">
        <v>0</v>
      </c>
      <c r="M1191" t="n">
        <v>0</v>
      </c>
      <c r="N1191" t="n">
        <v>0</v>
      </c>
      <c r="O1191" t="n">
        <v>0</v>
      </c>
      <c r="P1191" t="n">
        <v>0</v>
      </c>
      <c r="Q1191" t="n">
        <v>0</v>
      </c>
      <c r="R1191" s="2" t="inlineStr"/>
    </row>
    <row r="1192">
      <c r="A1192" t="inlineStr">
        <is>
          <t>A 29554-2025</t>
        </is>
      </c>
      <c r="B1192" s="1" t="n">
        <v>45825</v>
      </c>
      <c r="C1192" s="1" t="n">
        <v>45827</v>
      </c>
      <c r="D1192" t="inlineStr">
        <is>
          <t>ÖREBRO LÄN</t>
        </is>
      </c>
      <c r="E1192" t="inlineStr">
        <is>
          <t>ÖREBRO</t>
        </is>
      </c>
      <c r="F1192" t="inlineStr">
        <is>
          <t>Övriga Aktiebolag</t>
        </is>
      </c>
      <c r="G1192" t="n">
        <v>1</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2025-06-19T19:11:26Z</dcterms:created>
  <dcterms:modified xmlns:dcterms="http://purl.org/dc/terms/" xmlns:xsi="http://www.w3.org/2001/XMLSchema-instance" xsi:type="dcterms:W3CDTF">2025-06-19T19:11:27Z</dcterms:modified>
</cp:coreProperties>
</file>