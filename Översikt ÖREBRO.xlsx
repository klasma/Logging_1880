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45710</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45710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45710</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45710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45710</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45710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45710</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45710</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45710</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45710</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45710</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45710</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45710</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45710</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45710</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45710</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45710</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45710</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45710</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45710</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45710</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45710</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45710</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45710</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45710</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45710</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45710</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45710</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45710</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45710</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45710</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45710</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45710</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45710</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45710</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45710</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45710</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45710</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45710</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45710</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45710</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45710</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45710</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45710</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45710</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45710</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45710</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45710</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23608-2023</t>
        </is>
      </c>
      <c r="B50" s="1" t="n">
        <v>45077</v>
      </c>
      <c r="C50" s="1" t="n">
        <v>45710</v>
      </c>
      <c r="D50" t="inlineStr">
        <is>
          <t>ÖREBRO LÄN</t>
        </is>
      </c>
      <c r="E50" t="inlineStr">
        <is>
          <t>ÖREBRO</t>
        </is>
      </c>
      <c r="G50" t="n">
        <v>5.8</v>
      </c>
      <c r="H50" t="n">
        <v>2</v>
      </c>
      <c r="I50" t="n">
        <v>0</v>
      </c>
      <c r="J50" t="n">
        <v>2</v>
      </c>
      <c r="K50" t="n">
        <v>0</v>
      </c>
      <c r="L50" t="n">
        <v>0</v>
      </c>
      <c r="M50" t="n">
        <v>0</v>
      </c>
      <c r="N50" t="n">
        <v>0</v>
      </c>
      <c r="O50" t="n">
        <v>2</v>
      </c>
      <c r="P50" t="n">
        <v>0</v>
      </c>
      <c r="Q50" t="n">
        <v>2</v>
      </c>
      <c r="R50" s="2" t="inlineStr">
        <is>
          <t>Havsörn
Talltita</t>
        </is>
      </c>
      <c r="S50">
        <f>HYPERLINK("https://klasma.github.io/Logging_1880/artfynd/A 23608-2023 artfynd.xlsx", "A 23608-2023")</f>
        <v/>
      </c>
      <c r="T50">
        <f>HYPERLINK("https://klasma.github.io/Logging_1880/kartor/A 23608-2023 karta.png", "A 23608-2023")</f>
        <v/>
      </c>
      <c r="V50">
        <f>HYPERLINK("https://klasma.github.io/Logging_1880/klagomål/A 23608-2023 FSC-klagomål.docx", "A 23608-2023")</f>
        <v/>
      </c>
      <c r="W50">
        <f>HYPERLINK("https://klasma.github.io/Logging_1880/klagomålsmail/A 23608-2023 FSC-klagomål mail.docx", "A 23608-2023")</f>
        <v/>
      </c>
      <c r="X50">
        <f>HYPERLINK("https://klasma.github.io/Logging_1880/tillsyn/A 23608-2023 tillsynsbegäran.docx", "A 23608-2023")</f>
        <v/>
      </c>
      <c r="Y50">
        <f>HYPERLINK("https://klasma.github.io/Logging_1880/tillsynsmail/A 23608-2023 tillsynsbegäran mail.docx", "A 23608-2023")</f>
        <v/>
      </c>
      <c r="Z50">
        <f>HYPERLINK("https://klasma.github.io/Logging_1880/fåglar/A 23608-2023 prioriterade fågelarter.docx", "A 23608-2023")</f>
        <v/>
      </c>
    </row>
    <row r="51" ht="15" customHeight="1">
      <c r="A51" t="inlineStr">
        <is>
          <t>A 31234-2023</t>
        </is>
      </c>
      <c r="B51" s="1" t="n">
        <v>45114</v>
      </c>
      <c r="C51" s="1" t="n">
        <v>45710</v>
      </c>
      <c r="D51" t="inlineStr">
        <is>
          <t>ÖREBRO LÄN</t>
        </is>
      </c>
      <c r="E51" t="inlineStr">
        <is>
          <t>ÖREBRO</t>
        </is>
      </c>
      <c r="F51" t="inlineStr">
        <is>
          <t>Allmännings- och besparingsskogar</t>
        </is>
      </c>
      <c r="G51" t="n">
        <v>30.5</v>
      </c>
      <c r="H51" t="n">
        <v>2</v>
      </c>
      <c r="I51" t="n">
        <v>0</v>
      </c>
      <c r="J51" t="n">
        <v>2</v>
      </c>
      <c r="K51" t="n">
        <v>0</v>
      </c>
      <c r="L51" t="n">
        <v>0</v>
      </c>
      <c r="M51" t="n">
        <v>0</v>
      </c>
      <c r="N51" t="n">
        <v>0</v>
      </c>
      <c r="O51" t="n">
        <v>2</v>
      </c>
      <c r="P51" t="n">
        <v>0</v>
      </c>
      <c r="Q51" t="n">
        <v>2</v>
      </c>
      <c r="R51" s="2" t="inlineStr">
        <is>
          <t>Havsörn
Spillkråka</t>
        </is>
      </c>
      <c r="S51">
        <f>HYPERLINK("https://klasma.github.io/Logging_1880/artfynd/A 31234-2023 artfynd.xlsx", "A 31234-2023")</f>
        <v/>
      </c>
      <c r="T51">
        <f>HYPERLINK("https://klasma.github.io/Logging_1880/kartor/A 31234-2023 karta.png", "A 31234-2023")</f>
        <v/>
      </c>
      <c r="V51">
        <f>HYPERLINK("https://klasma.github.io/Logging_1880/klagomål/A 31234-2023 FSC-klagomål.docx", "A 31234-2023")</f>
        <v/>
      </c>
      <c r="W51">
        <f>HYPERLINK("https://klasma.github.io/Logging_1880/klagomålsmail/A 31234-2023 FSC-klagomål mail.docx", "A 31234-2023")</f>
        <v/>
      </c>
      <c r="X51">
        <f>HYPERLINK("https://klasma.github.io/Logging_1880/tillsyn/A 31234-2023 tillsynsbegäran.docx", "A 31234-2023")</f>
        <v/>
      </c>
      <c r="Y51">
        <f>HYPERLINK("https://klasma.github.io/Logging_1880/tillsynsmail/A 31234-2023 tillsynsbegäran mail.docx", "A 31234-2023")</f>
        <v/>
      </c>
      <c r="Z51">
        <f>HYPERLINK("https://klasma.github.io/Logging_1880/fåglar/A 31234-2023 prioriterade fågelarter.docx", "A 31234-2023")</f>
        <v/>
      </c>
    </row>
    <row r="52" ht="15" customHeight="1">
      <c r="A52" t="inlineStr">
        <is>
          <t>A 587-2024</t>
        </is>
      </c>
      <c r="B52" s="1" t="n">
        <v>45299</v>
      </c>
      <c r="C52" s="1" t="n">
        <v>45710</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45710</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45710</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45710</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45710</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45710</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45710</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45710</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45710</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45710</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45710</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45710</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45710</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45710</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45710</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45710</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45710</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45710</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45710</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45710</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45710</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45710</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45710</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45710</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45710</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45710</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45710</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45710</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45710</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45710</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45710</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45710</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45710</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45710</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45710</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45710</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45710</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45710</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45710</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45710</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45710</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45710</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45710</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45710</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45710</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45710</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45710</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45710</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45710</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45710</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45710</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45710</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45710</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45710</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45710</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45710</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45710</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45710</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45710</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45710</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45710</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45710</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45710</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45710</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45710</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45710</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45710</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45710</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45710</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45710</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45710</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45710</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45710</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45710</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45710</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45710</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45710</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45710</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45710</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45710</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45710</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45710</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45710</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45710</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45710</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45710</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45710</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45710</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45710</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45710</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45710</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45710</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45710</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45710</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45710</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45710</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45710</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45710</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45710</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45710</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45710</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45710</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45710</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45710</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45710</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45710</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45710</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45710</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45710</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45710</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45710</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45710</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45710</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45710</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45710</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45710</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45710</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45710</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45710</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45710</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45710</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45710</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45710</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45710</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45710</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45710</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45710</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45710</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45710</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45710</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45710</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45710</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45710</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45710</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45710</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45710</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45710</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45710</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45710</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45710</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45710</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45710</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45710</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45710</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45710</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45710</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45710</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45710</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45710</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45710</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45710</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45710</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45710</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45710</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45710</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45710</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45710</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45710</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45710</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45710</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45710</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45710</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45710</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45710</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45710</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45710</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45710</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45710</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45710</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45710</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45710</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45710</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45710</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45710</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45710</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45710</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45710</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45710</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45710</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45710</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45710</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45710</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45710</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45710</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45710</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45710</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45710</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45710</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45710</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45710</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45710</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45710</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45710</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45710</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45710</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45710</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45710</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45710</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45710</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45710</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45710</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45710</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45710</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45710</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45710</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45710</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45710</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45710</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45710</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45710</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45710</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45710</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45710</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45710</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45710</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45710</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45710</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45710</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45710</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45710</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45710</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45710</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45710</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45710</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45710</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45710</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45710</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45710</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45710</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45710</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45710</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45710</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45710</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45710</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45710</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45710</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45710</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45710</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45710</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45710</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45710</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45710</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45710</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45710</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45710</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45710</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45710</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45710</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45710</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45710</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45710</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45710</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45710</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45710</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45710</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45710</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45710</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45710</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45710</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45710</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45710</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45710</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45710</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45710</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45710</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45710</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45710</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45710</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45710</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45710</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45710</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45710</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45710</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45710</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45710</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45710</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45710</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45710</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45710</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45710</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45710</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45710</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45710</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45710</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45710</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45710</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45710</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45710</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45710</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45710</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45710</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45710</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45710</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45710</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45710</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45710</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45710</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45710</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45710</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45710</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45710</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45710</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45710</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45710</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45710</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45710</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45710</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45710</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45710</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45710</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45710</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45710</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45710</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45710</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45710</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45710</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45710</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45710</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45710</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45710</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45710</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45710</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45710</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45710</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45710</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45710</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45710</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45710</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45710</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45710</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45710</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45710</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45710</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45710</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45710</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45710</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45710</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45710</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45710</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45710</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45710</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45710</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45710</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45710</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45710</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45710</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45710</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45710</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45710</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45710</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45710</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45710</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45710</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45710</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45710</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45710</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45710</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45710</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45710</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45710</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45710</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45710</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45710</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45710</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45710</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45710</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45710</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45710</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45710</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45710</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45710</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45710</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45710</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45710</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45710</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45710</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45710</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45710</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45710</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45710</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45710</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45710</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45710</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45710</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45710</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45710</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45710</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45710</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45710</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45710</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45710</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45710</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45710</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45710</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45710</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45710</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45710</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45710</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45710</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45710</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45710</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45710</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45710</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45710</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45710</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45710</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45710</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45710</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45710</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45710</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45710</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45710</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45710</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45710</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45710</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45710</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45710</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45710</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45710</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45710</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45710</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45710</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45710</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45710</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45710</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45710</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45710</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45710</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45710</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45710</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45710</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45710</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45710</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45710</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45710</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45710</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45710</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45710</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45710</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45710</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45710</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45710</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45710</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45710</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45710</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45710</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45710</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45710</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45710</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45710</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45710</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45710</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45710</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45710</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45710</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45710</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45710</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45710</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45710</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45710</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45710</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45710</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45710</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45710</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45710</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45710</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45710</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45710</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45710</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45710</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45710</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45710</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45710</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45710</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45710</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45710</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45710</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45710</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45710</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45710</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45710</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45710</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45710</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45710</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45710</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45710</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45710</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45710</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45710</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45710</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45710</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45710</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45710</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45710</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45710</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45710</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45710</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45710</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45710</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45710</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45710</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45710</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45710</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45710</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45710</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45710</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45710</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45710</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45710</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45710</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45710</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45710</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45710</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45710</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45710</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45710</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45710</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45710</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45710</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45710</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45710</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45710</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45710</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45710</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45710</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45710</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45710</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45710</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45710</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45710</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45710</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45710</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45710</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45710</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45710</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45710</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45710</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45710</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45710</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45710</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45710</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45710</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45710</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45710</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45710</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45710</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45710</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45710</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45710</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45710</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45710</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45710</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45710</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45710</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45710</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45710</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45710</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45710</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45710</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45710</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45710</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45710</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45710</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45710</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45710</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45710</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45710</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45710</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45710</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45710</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45710</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45710</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45710</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45710</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45710</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45710</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45710</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45710</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45710</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45710</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45710</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45710</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45710</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45710</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45710</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45710</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45710</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45710</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45710</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45710</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45710</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45710</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45710</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45710</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45710</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45710</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45710</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45710</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45710</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45710</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45710</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45710</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45710</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45710</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45710</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45710</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45710</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45710</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45710</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45710</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45710</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45710</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45710</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45710</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45710</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45710</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45710</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45710</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45710</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45710</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45710</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45710</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45710</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45710</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45710</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45710</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45710</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45710</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45710</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45710</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45710</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45710</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45710</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45710</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45710</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45710</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45710</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45710</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45710</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45710</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45710</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45710</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45710</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45710</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45710</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45710</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45710</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45710</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45710</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45710</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45710</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45710</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45710</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45710</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45710</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45710</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45710</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45710</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45710</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45710</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45710</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45710</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45710</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45710</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45710</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45710</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45710</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45710</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45710</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45710</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45710</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45710</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45710</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45710</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45710</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45710</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45710</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45710</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45710</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45710</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45710</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45710</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45710</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45710</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45710</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45710</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45710</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45710</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45710</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45710</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45710</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45710</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45710</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45710</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45710</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45710</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45710</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45710</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45710</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45710</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45710</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45710</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45710</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45710</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45710</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45710</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45710</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45710</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45710</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45710</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45710</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45710</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45710</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45710</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45710</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45710</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45710</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45710</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45710</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45710</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45710</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45710</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45710</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45710</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45710</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45710</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45710</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45710</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45710</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45710</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45710</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45710</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45710</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45710</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45710</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45710</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45710</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45710</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45710</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45710</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45710</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45710</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45710</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45710</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45710</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45710</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45710</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45710</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45710</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45710</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45710</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45710</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45710</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45710</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45710</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45710</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45710</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45710</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45710</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45710</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45710</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45710</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45710</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45710</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45710</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45710</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45710</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45710</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45710</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45710</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45710</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45710</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45710</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45710</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45710</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45710</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45710</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45710</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45710</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45710</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45710</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45710</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45710</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45710</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45710</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45710</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45710</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45710</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45710</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45710</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45710</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45710</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45710</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45710</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45710</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45710</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45710</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45710</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45710</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45710</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45710</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45710</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45710</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45710</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45710</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45710</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45710</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45710</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45710</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45710</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45710</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45710</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45710</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45710</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45710</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45710</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45710</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45710</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45710</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45710</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45710</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45710</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45710</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45710</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45710</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45710</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45710</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45710</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45710</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45710</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45710</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45710</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45710</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45710</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45710</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45710</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45710</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45710</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45710</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45710</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45710</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45710</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45710</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45710</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45710</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45710</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45710</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45710</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45710</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45710</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45710</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45710</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45710</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45710</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45710</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45710</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45710</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45710</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45710</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45710</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45710</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45710</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45710</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45710</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45710</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45710</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45710</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45710</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45710</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45710</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45710</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45710</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45710</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45710</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45710</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45710</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45710</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45710</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45710</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45710</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45710</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45710</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45710</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45710</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45710</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45710</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45710</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45710</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45710</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45710</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45710</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45710</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45710</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45710</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45710</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45710</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45710</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45710</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45710</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45710</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45710</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45710</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45710</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45710</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45710</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45710</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45710</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45710</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45710</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45710</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45710</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45710</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45710</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45710</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45710</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45710</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45710</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45710</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45710</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45710</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45710</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45710</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45710</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45710</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45710</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45710</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45710</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45710</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45710</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45710</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45710</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45710</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45710</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45710</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45710</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45710</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45710</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45710</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45710</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45710</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45710</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45710</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45710</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45710</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45710</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45710</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45710</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45710</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45710</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45710</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45710</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45710</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45710</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45710</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45710</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45710</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45710</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45710</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45710</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45710</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45710</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45710</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45710</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45710</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45710</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45710</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45710</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45710</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45710</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45710</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45710</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45710</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45710</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45710</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45710</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45710</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45710</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45710</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45710</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45710</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45710</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45710</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45710</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45710</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45710</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45710</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45710</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45710</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45710</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45710</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45710</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45710</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45710</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45710</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45710</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45710</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45710</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45710</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45710</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45710</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45710</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45710</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45710</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45710</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45710</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45710</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45710</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45710</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45710</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45710</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45710</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45710</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45710</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45710</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45710</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45710</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45710</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45710</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45710</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45710</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45710</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45710</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45710</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45710</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45710</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45710</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45710</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45710</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45710</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45710</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45710</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45710</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45710</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45710</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45710</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45710</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45710</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45710</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45710</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45710</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45710</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45710</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45710</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45710</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45710</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45710</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45710</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45710</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45710</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45710</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45710</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45710</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45710</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45710</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45710</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45710</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45710</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45710</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45710</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45710</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45710</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3659-2025</t>
        </is>
      </c>
      <c r="B1113" s="1" t="n">
        <v>45681</v>
      </c>
      <c r="C1113" s="1" t="n">
        <v>45710</v>
      </c>
      <c r="D1113" t="inlineStr">
        <is>
          <t>ÖREBRO LÄN</t>
        </is>
      </c>
      <c r="E1113" t="inlineStr">
        <is>
          <t>ÖREBRO</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45710</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45710</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45710</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45710</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45710</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4277-2025</t>
        </is>
      </c>
      <c r="B1119" s="1" t="n">
        <v>45685</v>
      </c>
      <c r="C1119" s="1" t="n">
        <v>45710</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4284-2025</t>
        </is>
      </c>
      <c r="B1120" s="1" t="n">
        <v>45685</v>
      </c>
      <c r="C1120" s="1" t="n">
        <v>45710</v>
      </c>
      <c r="D1120" t="inlineStr">
        <is>
          <t>ÖREBRO LÄN</t>
        </is>
      </c>
      <c r="E1120" t="inlineStr">
        <is>
          <t>ÖREBRO</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4344-2025</t>
        </is>
      </c>
      <c r="B1121" s="1" t="n">
        <v>45685</v>
      </c>
      <c r="C1121" s="1" t="n">
        <v>45710</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4380-2025</t>
        </is>
      </c>
      <c r="B1122" s="1" t="n">
        <v>45686</v>
      </c>
      <c r="C1122" s="1" t="n">
        <v>45710</v>
      </c>
      <c r="D1122" t="inlineStr">
        <is>
          <t>ÖREBRO LÄN</t>
        </is>
      </c>
      <c r="E1122" t="inlineStr">
        <is>
          <t>ÖREBRO</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4381-2025</t>
        </is>
      </c>
      <c r="B1123" s="1" t="n">
        <v>45686</v>
      </c>
      <c r="C1123" s="1" t="n">
        <v>45710</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5404-2025</t>
        </is>
      </c>
      <c r="B1124" s="1" t="n">
        <v>45692</v>
      </c>
      <c r="C1124" s="1" t="n">
        <v>45710</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5406-2025</t>
        </is>
      </c>
      <c r="B1125" s="1" t="n">
        <v>45692</v>
      </c>
      <c r="C1125" s="1" t="n">
        <v>45710</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45710</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45710</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6794-2025</t>
        </is>
      </c>
      <c r="B1128" s="1" t="n">
        <v>45700</v>
      </c>
      <c r="C1128" s="1" t="n">
        <v>45710</v>
      </c>
      <c r="D1128" t="inlineStr">
        <is>
          <t>ÖREBRO LÄN</t>
        </is>
      </c>
      <c r="E1128" t="inlineStr">
        <is>
          <t>ÖREBRO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6869-2025</t>
        </is>
      </c>
      <c r="B1129" s="1" t="n">
        <v>45700</v>
      </c>
      <c r="C1129" s="1" t="n">
        <v>45710</v>
      </c>
      <c r="D1129" t="inlineStr">
        <is>
          <t>ÖREBRO LÄN</t>
        </is>
      </c>
      <c r="E1129" t="inlineStr">
        <is>
          <t>ÖREBRO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7141-2025</t>
        </is>
      </c>
      <c r="B1130" s="1" t="n">
        <v>45702</v>
      </c>
      <c r="C1130" s="1" t="n">
        <v>45710</v>
      </c>
      <c r="D1130" t="inlineStr">
        <is>
          <t>ÖREBRO LÄN</t>
        </is>
      </c>
      <c r="E1130" t="inlineStr">
        <is>
          <t>ÖREBRO</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7134-2025</t>
        </is>
      </c>
      <c r="B1131" s="1" t="n">
        <v>45702</v>
      </c>
      <c r="C1131" s="1" t="n">
        <v>45710</v>
      </c>
      <c r="D1131" t="inlineStr">
        <is>
          <t>ÖREBRO LÄN</t>
        </is>
      </c>
      <c r="E1131" t="inlineStr">
        <is>
          <t>ÖREBRO</t>
        </is>
      </c>
      <c r="F1131" t="inlineStr">
        <is>
          <t>Övriga Aktiebolag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7302-2025</t>
        </is>
      </c>
      <c r="B1132" s="1" t="n">
        <v>45702</v>
      </c>
      <c r="C1132" s="1" t="n">
        <v>45710</v>
      </c>
      <c r="D1132" t="inlineStr">
        <is>
          <t>ÖREBRO LÄN</t>
        </is>
      </c>
      <c r="E1132" t="inlineStr">
        <is>
          <t>ÖREBRO</t>
        </is>
      </c>
      <c r="G1132" t="n">
        <v>5</v>
      </c>
      <c r="H1132" t="n">
        <v>0</v>
      </c>
      <c r="I1132" t="n">
        <v>0</v>
      </c>
      <c r="J1132" t="n">
        <v>0</v>
      </c>
      <c r="K1132" t="n">
        <v>0</v>
      </c>
      <c r="L1132" t="n">
        <v>0</v>
      </c>
      <c r="M1132" t="n">
        <v>0</v>
      </c>
      <c r="N1132" t="n">
        <v>0</v>
      </c>
      <c r="O1132" t="n">
        <v>0</v>
      </c>
      <c r="P1132" t="n">
        <v>0</v>
      </c>
      <c r="Q1132" t="n">
        <v>0</v>
      </c>
      <c r="R1132" s="2" t="inlineStr"/>
      <c r="U1132">
        <f>HYPERLINK("https://klasma.github.io/Logging_1880/knärot/A 7302-2025 karta knärot.png", "A 7302-2025")</f>
        <v/>
      </c>
      <c r="V1132">
        <f>HYPERLINK("https://klasma.github.io/Logging_1880/klagomål/A 7302-2025 FSC-klagomål.docx", "A 7302-2025")</f>
        <v/>
      </c>
      <c r="W1132">
        <f>HYPERLINK("https://klasma.github.io/Logging_1880/klagomålsmail/A 7302-2025 FSC-klagomål mail.docx", "A 7302-2025")</f>
        <v/>
      </c>
      <c r="X1132">
        <f>HYPERLINK("https://klasma.github.io/Logging_1880/tillsyn/A 7302-2025 tillsynsbegäran.docx", "A 7302-2025")</f>
        <v/>
      </c>
      <c r="Y1132">
        <f>HYPERLINK("https://klasma.github.io/Logging_1880/tillsynsmail/A 7302-2025 tillsynsbegäran mail.docx", "A 7302-2025")</f>
        <v/>
      </c>
    </row>
    <row r="1133" ht="15" customHeight="1">
      <c r="A1133" t="inlineStr">
        <is>
          <t>A 7404-2025</t>
        </is>
      </c>
      <c r="B1133" s="1" t="n">
        <v>45705</v>
      </c>
      <c r="C1133" s="1" t="n">
        <v>45710</v>
      </c>
      <c r="D1133" t="inlineStr">
        <is>
          <t>ÖREBRO LÄN</t>
        </is>
      </c>
      <c r="E1133" t="inlineStr">
        <is>
          <t>ÖREBRO</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7506-2025</t>
        </is>
      </c>
      <c r="B1134" s="1" t="n">
        <v>45705</v>
      </c>
      <c r="C1134" s="1" t="n">
        <v>45710</v>
      </c>
      <c r="D1134" t="inlineStr">
        <is>
          <t>ÖREBRO LÄN</t>
        </is>
      </c>
      <c r="E1134" t="inlineStr">
        <is>
          <t>ÖREBRO</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7632-2025</t>
        </is>
      </c>
      <c r="B1135" s="1" t="n">
        <v>45705</v>
      </c>
      <c r="C1135" s="1" t="n">
        <v>45710</v>
      </c>
      <c r="D1135" t="inlineStr">
        <is>
          <t>ÖREBRO LÄN</t>
        </is>
      </c>
      <c r="E1135" t="inlineStr">
        <is>
          <t>ÖREBRO</t>
        </is>
      </c>
      <c r="G1135" t="n">
        <v>1.7</v>
      </c>
      <c r="H1135" t="n">
        <v>0</v>
      </c>
      <c r="I1135" t="n">
        <v>0</v>
      </c>
      <c r="J1135" t="n">
        <v>0</v>
      </c>
      <c r="K1135" t="n">
        <v>0</v>
      </c>
      <c r="L1135" t="n">
        <v>0</v>
      </c>
      <c r="M1135" t="n">
        <v>0</v>
      </c>
      <c r="N1135" t="n">
        <v>0</v>
      </c>
      <c r="O1135" t="n">
        <v>0</v>
      </c>
      <c r="P1135" t="n">
        <v>0</v>
      </c>
      <c r="Q1135" t="n">
        <v>0</v>
      </c>
      <c r="R1135" s="2" t="inlineStr"/>
    </row>
    <row r="1136">
      <c r="A1136" t="inlineStr">
        <is>
          <t>A 8512-2025</t>
        </is>
      </c>
      <c r="B1136" s="1" t="n">
        <v>45709</v>
      </c>
      <c r="C1136" s="1" t="n">
        <v>45710</v>
      </c>
      <c r="D1136" t="inlineStr">
        <is>
          <t>ÖREBRO LÄN</t>
        </is>
      </c>
      <c r="E1136" t="inlineStr">
        <is>
          <t>ÖREBRO</t>
        </is>
      </c>
      <c r="G1136" t="n">
        <v>1.8</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2025-02-22T16:26:58Z</dcterms:created>
  <dcterms:modified xmlns:dcterms="http://purl.org/dc/terms/" xmlns:xsi="http://www.w3.org/2001/XMLSchema-instance" xsi:type="dcterms:W3CDTF">2025-02-22T16:26:59Z</dcterms:modified>
</cp:coreProperties>
</file>