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46089</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46089</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46089</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46089</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46089</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46089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46089</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46089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46089</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46089</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46089</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46089</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46089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46089</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46089</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46089</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46089</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46089</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46089</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59517-2025</t>
        </is>
      </c>
      <c r="B27" s="1" t="n">
        <v>45989.65462962963</v>
      </c>
      <c r="C27" s="1" t="n">
        <v>46089</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58837-2025</t>
        </is>
      </c>
      <c r="B28" s="1" t="n">
        <v>45987.35875</v>
      </c>
      <c r="C28" s="1" t="n">
        <v>46089</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46089</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50096-2023</t>
        </is>
      </c>
      <c r="B30" s="1" t="n">
        <v>45215</v>
      </c>
      <c r="C30" s="1" t="n">
        <v>46089</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46089</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46089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63196-2025</t>
        </is>
      </c>
      <c r="B34" s="1" t="n">
        <v>46010.45872685185</v>
      </c>
      <c r="C34" s="1" t="n">
        <v>46089</v>
      </c>
      <c r="D34" t="inlineStr">
        <is>
          <t>ÖREBRO LÄN</t>
        </is>
      </c>
      <c r="E34" t="inlineStr">
        <is>
          <t>ÖREBRO</t>
        </is>
      </c>
      <c r="F34" t="inlineStr">
        <is>
          <t>Sveaskog</t>
        </is>
      </c>
      <c r="G34" t="n">
        <v>1.4</v>
      </c>
      <c r="H34" t="n">
        <v>1</v>
      </c>
      <c r="I34" t="n">
        <v>1</v>
      </c>
      <c r="J34" t="n">
        <v>0</v>
      </c>
      <c r="K34" t="n">
        <v>0</v>
      </c>
      <c r="L34" t="n">
        <v>0</v>
      </c>
      <c r="M34" t="n">
        <v>0</v>
      </c>
      <c r="N34" t="n">
        <v>0</v>
      </c>
      <c r="O34" t="n">
        <v>0</v>
      </c>
      <c r="P34" t="n">
        <v>0</v>
      </c>
      <c r="Q34" t="n">
        <v>2</v>
      </c>
      <c r="R34" s="2" t="inlineStr">
        <is>
          <t>Tibast
Blåsippa</t>
        </is>
      </c>
      <c r="S34">
        <f>HYPERLINK("https://klasma.github.io/Logging_1880/artfynd/A 63196-2025 artfynd.xlsx", "A 63196-2025")</f>
        <v/>
      </c>
      <c r="T34">
        <f>HYPERLINK("https://klasma.github.io/Logging_1880/kartor/A 63196-2025 karta.png", "A 63196-2025")</f>
        <v/>
      </c>
      <c r="V34">
        <f>HYPERLINK("https://klasma.github.io/Logging_1880/klagomål/A 63196-2025 FSC-klagomål.docx", "A 63196-2025")</f>
        <v/>
      </c>
      <c r="W34">
        <f>HYPERLINK("https://klasma.github.io/Logging_1880/klagomålsmail/A 63196-2025 FSC-klagomål mail.docx", "A 63196-2025")</f>
        <v/>
      </c>
      <c r="X34">
        <f>HYPERLINK("https://klasma.github.io/Logging_1880/tillsyn/A 63196-2025 tillsynsbegäran.docx", "A 63196-2025")</f>
        <v/>
      </c>
      <c r="Y34">
        <f>HYPERLINK("https://klasma.github.io/Logging_1880/tillsynsmail/A 63196-2025 tillsynsbegäran mail.docx", "A 63196-2025")</f>
        <v/>
      </c>
    </row>
    <row r="35" ht="15" customHeight="1">
      <c r="A35" t="inlineStr">
        <is>
          <t>A 30409-2025</t>
        </is>
      </c>
      <c r="B35" s="1" t="n">
        <v>45827.59738425926</v>
      </c>
      <c r="C35" s="1" t="n">
        <v>46089</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46089</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46089</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52400-2024</t>
        </is>
      </c>
      <c r="B38" s="1" t="n">
        <v>45609.44461805555</v>
      </c>
      <c r="C38" s="1" t="n">
        <v>46089</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60557-2025</t>
        </is>
      </c>
      <c r="B39" s="1" t="n">
        <v>45995.74444444444</v>
      </c>
      <c r="C39" s="1" t="n">
        <v>46089</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37019-2024</t>
        </is>
      </c>
      <c r="B40" s="1" t="n">
        <v>45539.37905092593</v>
      </c>
      <c r="C40" s="1" t="n">
        <v>46089</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2998-2026</t>
        </is>
      </c>
      <c r="B41" s="1" t="n">
        <v>46038.64835648148</v>
      </c>
      <c r="C41" s="1" t="n">
        <v>46089</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46089</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46089</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46089</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46089</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46089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46089</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15621-2021</t>
        </is>
      </c>
      <c r="B48" s="1" t="n">
        <v>44285</v>
      </c>
      <c r="C48" s="1" t="n">
        <v>46089</v>
      </c>
      <c r="D48" t="inlineStr">
        <is>
          <t>ÖREBRO LÄN</t>
        </is>
      </c>
      <c r="E48" t="inlineStr">
        <is>
          <t>ÖREBRO</t>
        </is>
      </c>
      <c r="G48" t="n">
        <v>2.8</v>
      </c>
      <c r="H48" t="n">
        <v>1</v>
      </c>
      <c r="I48" t="n">
        <v>0</v>
      </c>
      <c r="J48" t="n">
        <v>0</v>
      </c>
      <c r="K48" t="n">
        <v>0</v>
      </c>
      <c r="L48" t="n">
        <v>0</v>
      </c>
      <c r="M48" t="n">
        <v>0</v>
      </c>
      <c r="N48" t="n">
        <v>0</v>
      </c>
      <c r="O48" t="n">
        <v>0</v>
      </c>
      <c r="P48" t="n">
        <v>0</v>
      </c>
      <c r="Q48" t="n">
        <v>1</v>
      </c>
      <c r="R48" s="2" t="inlineStr">
        <is>
          <t>Fläcknycklar</t>
        </is>
      </c>
      <c r="S48">
        <f>HYPERLINK("https://klasma.github.io/Logging_1880/artfynd/A 15621-2021 artfynd.xlsx", "A 15621-2021")</f>
        <v/>
      </c>
      <c r="T48">
        <f>HYPERLINK("https://klasma.github.io/Logging_1880/kartor/A 15621-2021 karta.png", "A 15621-2021")</f>
        <v/>
      </c>
      <c r="V48">
        <f>HYPERLINK("https://klasma.github.io/Logging_1880/klagomål/A 15621-2021 FSC-klagomål.docx", "A 15621-2021")</f>
        <v/>
      </c>
      <c r="W48">
        <f>HYPERLINK("https://klasma.github.io/Logging_1880/klagomålsmail/A 15621-2021 FSC-klagomål mail.docx", "A 15621-2021")</f>
        <v/>
      </c>
      <c r="X48">
        <f>HYPERLINK("https://klasma.github.io/Logging_1880/tillsyn/A 15621-2021 tillsynsbegäran.docx", "A 15621-2021")</f>
        <v/>
      </c>
      <c r="Y48">
        <f>HYPERLINK("https://klasma.github.io/Logging_1880/tillsynsmail/A 15621-2021 tillsynsbegäran mail.docx", "A 15621-2021")</f>
        <v/>
      </c>
    </row>
    <row r="49" ht="15" customHeight="1">
      <c r="A49" t="inlineStr">
        <is>
          <t>A 44744-2024</t>
        </is>
      </c>
      <c r="B49" s="1" t="n">
        <v>45574.59789351852</v>
      </c>
      <c r="C49" s="1" t="n">
        <v>46089</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23998-2025</t>
        </is>
      </c>
      <c r="B50" s="1" t="n">
        <v>45796.42209490741</v>
      </c>
      <c r="C50" s="1" t="n">
        <v>46089</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63199-2025</t>
        </is>
      </c>
      <c r="B51" s="1" t="n">
        <v>46010.46091435185</v>
      </c>
      <c r="C51" s="1" t="n">
        <v>46089</v>
      </c>
      <c r="D51" t="inlineStr">
        <is>
          <t>ÖREBRO LÄN</t>
        </is>
      </c>
      <c r="E51" t="inlineStr">
        <is>
          <t>ÖREBRO</t>
        </is>
      </c>
      <c r="F51" t="inlineStr">
        <is>
          <t>Sveaskog</t>
        </is>
      </c>
      <c r="G51" t="n">
        <v>0.9</v>
      </c>
      <c r="H51" t="n">
        <v>1</v>
      </c>
      <c r="I51" t="n">
        <v>0</v>
      </c>
      <c r="J51" t="n">
        <v>0</v>
      </c>
      <c r="K51" t="n">
        <v>0</v>
      </c>
      <c r="L51" t="n">
        <v>0</v>
      </c>
      <c r="M51" t="n">
        <v>0</v>
      </c>
      <c r="N51" t="n">
        <v>0</v>
      </c>
      <c r="O51" t="n">
        <v>0</v>
      </c>
      <c r="P51" t="n">
        <v>0</v>
      </c>
      <c r="Q51" t="n">
        <v>1</v>
      </c>
      <c r="R51" s="2" t="inlineStr">
        <is>
          <t>Gullviva</t>
        </is>
      </c>
      <c r="S51">
        <f>HYPERLINK("https://klasma.github.io/Logging_1880/artfynd/A 63199-2025 artfynd.xlsx", "A 63199-2025")</f>
        <v/>
      </c>
      <c r="T51">
        <f>HYPERLINK("https://klasma.github.io/Logging_1880/kartor/A 63199-2025 karta.png", "A 63199-2025")</f>
        <v/>
      </c>
      <c r="V51">
        <f>HYPERLINK("https://klasma.github.io/Logging_1880/klagomål/A 63199-2025 FSC-klagomål.docx", "A 63199-2025")</f>
        <v/>
      </c>
      <c r="W51">
        <f>HYPERLINK("https://klasma.github.io/Logging_1880/klagomålsmail/A 63199-2025 FSC-klagomål mail.docx", "A 63199-2025")</f>
        <v/>
      </c>
      <c r="X51">
        <f>HYPERLINK("https://klasma.github.io/Logging_1880/tillsyn/A 63199-2025 tillsynsbegäran.docx", "A 63199-2025")</f>
        <v/>
      </c>
      <c r="Y51">
        <f>HYPERLINK("https://klasma.github.io/Logging_1880/tillsynsmail/A 63199-2025 tillsynsbegäran mail.docx", "A 63199-2025")</f>
        <v/>
      </c>
    </row>
    <row r="52" ht="15" customHeight="1">
      <c r="A52" t="inlineStr">
        <is>
          <t>A 28936-2025</t>
        </is>
      </c>
      <c r="B52" s="1" t="n">
        <v>45820.69287037037</v>
      </c>
      <c r="C52" s="1" t="n">
        <v>46089</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46089</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46089</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50499-2025</t>
        </is>
      </c>
      <c r="B55" s="1" t="n">
        <v>45945.41712962963</v>
      </c>
      <c r="C55" s="1" t="n">
        <v>46089</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26890-2022</t>
        </is>
      </c>
      <c r="B56" s="1" t="n">
        <v>44740</v>
      </c>
      <c r="C56" s="1" t="n">
        <v>46089</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46089</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58838-2025</t>
        </is>
      </c>
      <c r="B58" s="1" t="n">
        <v>45987.35973379629</v>
      </c>
      <c r="C58" s="1" t="n">
        <v>46089</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59516-2025</t>
        </is>
      </c>
      <c r="B59" s="1" t="n">
        <v>45989.65396990741</v>
      </c>
      <c r="C59" s="1" t="n">
        <v>46089</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44389-2021</t>
        </is>
      </c>
      <c r="B60" s="1" t="n">
        <v>44435</v>
      </c>
      <c r="C60" s="1" t="n">
        <v>46089</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3006-2026</t>
        </is>
      </c>
      <c r="B61" s="1" t="n">
        <v>46038.65719907408</v>
      </c>
      <c r="C61" s="1" t="n">
        <v>46089</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46089</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46089</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31695-2024</t>
        </is>
      </c>
      <c r="B64" s="1" t="n">
        <v>45508</v>
      </c>
      <c r="C64" s="1" t="n">
        <v>46089</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5097-2023</t>
        </is>
      </c>
      <c r="B65" s="1" t="n">
        <v>44958</v>
      </c>
      <c r="C65" s="1" t="n">
        <v>46089</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32105-2023</t>
        </is>
      </c>
      <c r="B66" s="1" t="n">
        <v>45119</v>
      </c>
      <c r="C66" s="1" t="n">
        <v>46089</v>
      </c>
      <c r="D66" t="inlineStr">
        <is>
          <t>ÖREBRO LÄN</t>
        </is>
      </c>
      <c r="E66" t="inlineStr">
        <is>
          <t>ÖREBRO</t>
        </is>
      </c>
      <c r="G66" t="n">
        <v>1.3</v>
      </c>
      <c r="H66" t="n">
        <v>1</v>
      </c>
      <c r="I66" t="n">
        <v>0</v>
      </c>
      <c r="J66" t="n">
        <v>1</v>
      </c>
      <c r="K66" t="n">
        <v>0</v>
      </c>
      <c r="L66" t="n">
        <v>0</v>
      </c>
      <c r="M66" t="n">
        <v>0</v>
      </c>
      <c r="N66" t="n">
        <v>0</v>
      </c>
      <c r="O66" t="n">
        <v>1</v>
      </c>
      <c r="P66" t="n">
        <v>0</v>
      </c>
      <c r="Q66" t="n">
        <v>1</v>
      </c>
      <c r="R66" s="2" t="inlineStr">
        <is>
          <t>Rödvingetrast</t>
        </is>
      </c>
      <c r="S66">
        <f>HYPERLINK("https://klasma.github.io/Logging_1880/artfynd/A 32105-2023 artfynd.xlsx", "A 32105-2023")</f>
        <v/>
      </c>
      <c r="T66">
        <f>HYPERLINK("https://klasma.github.io/Logging_1880/kartor/A 32105-2023 karta.png", "A 32105-2023")</f>
        <v/>
      </c>
      <c r="V66">
        <f>HYPERLINK("https://klasma.github.io/Logging_1880/klagomål/A 32105-2023 FSC-klagomål.docx", "A 32105-2023")</f>
        <v/>
      </c>
      <c r="W66">
        <f>HYPERLINK("https://klasma.github.io/Logging_1880/klagomålsmail/A 32105-2023 FSC-klagomål mail.docx", "A 32105-2023")</f>
        <v/>
      </c>
      <c r="X66">
        <f>HYPERLINK("https://klasma.github.io/Logging_1880/tillsyn/A 32105-2023 tillsynsbegäran.docx", "A 32105-2023")</f>
        <v/>
      </c>
      <c r="Y66">
        <f>HYPERLINK("https://klasma.github.io/Logging_1880/tillsynsmail/A 32105-2023 tillsynsbegäran mail.docx", "A 32105-2023")</f>
        <v/>
      </c>
      <c r="Z66">
        <f>HYPERLINK("https://klasma.github.io/Logging_1880/fåglar/A 32105-2023 prioriterade fågelarter.docx", "A 32105-2023")</f>
        <v/>
      </c>
    </row>
    <row r="67" ht="15" customHeight="1">
      <c r="A67" t="inlineStr">
        <is>
          <t>A 20247-2023</t>
        </is>
      </c>
      <c r="B67" s="1" t="n">
        <v>45055</v>
      </c>
      <c r="C67" s="1" t="n">
        <v>46089</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22604-2024</t>
        </is>
      </c>
      <c r="B68" s="1" t="n">
        <v>45447</v>
      </c>
      <c r="C68" s="1" t="n">
        <v>46089</v>
      </c>
      <c r="D68" t="inlineStr">
        <is>
          <t>ÖREBRO LÄN</t>
        </is>
      </c>
      <c r="E68" t="inlineStr">
        <is>
          <t>ÖREBRO</t>
        </is>
      </c>
      <c r="G68" t="n">
        <v>4.4</v>
      </c>
      <c r="H68" t="n">
        <v>0</v>
      </c>
      <c r="I68" t="n">
        <v>0</v>
      </c>
      <c r="J68" t="n">
        <v>1</v>
      </c>
      <c r="K68" t="n">
        <v>0</v>
      </c>
      <c r="L68" t="n">
        <v>0</v>
      </c>
      <c r="M68" t="n">
        <v>0</v>
      </c>
      <c r="N68" t="n">
        <v>0</v>
      </c>
      <c r="O68" t="n">
        <v>1</v>
      </c>
      <c r="P68" t="n">
        <v>0</v>
      </c>
      <c r="Q68" t="n">
        <v>1</v>
      </c>
      <c r="R68" s="2" t="inlineStr">
        <is>
          <t>Månlåsbräken</t>
        </is>
      </c>
      <c r="S68">
        <f>HYPERLINK("https://klasma.github.io/Logging_1880/artfynd/A 22604-2024 artfynd.xlsx", "A 22604-2024")</f>
        <v/>
      </c>
      <c r="T68">
        <f>HYPERLINK("https://klasma.github.io/Logging_1880/kartor/A 22604-2024 karta.png", "A 22604-2024")</f>
        <v/>
      </c>
      <c r="V68">
        <f>HYPERLINK("https://klasma.github.io/Logging_1880/klagomål/A 22604-2024 FSC-klagomål.docx", "A 22604-2024")</f>
        <v/>
      </c>
      <c r="W68">
        <f>HYPERLINK("https://klasma.github.io/Logging_1880/klagomålsmail/A 22604-2024 FSC-klagomål mail.docx", "A 22604-2024")</f>
        <v/>
      </c>
      <c r="X68">
        <f>HYPERLINK("https://klasma.github.io/Logging_1880/tillsyn/A 22604-2024 tillsynsbegäran.docx", "A 22604-2024")</f>
        <v/>
      </c>
      <c r="Y68">
        <f>HYPERLINK("https://klasma.github.io/Logging_1880/tillsynsmail/A 22604-2024 tillsynsbegäran mail.docx", "A 22604-2024")</f>
        <v/>
      </c>
    </row>
    <row r="69" ht="15" customHeight="1">
      <c r="A69" t="inlineStr">
        <is>
          <t>A 11501-2025</t>
        </is>
      </c>
      <c r="B69" s="1" t="n">
        <v>45726</v>
      </c>
      <c r="C69" s="1" t="n">
        <v>46089</v>
      </c>
      <c r="D69" t="inlineStr">
        <is>
          <t>ÖREBRO LÄN</t>
        </is>
      </c>
      <c r="E69" t="inlineStr">
        <is>
          <t>ÖREBRO</t>
        </is>
      </c>
      <c r="G69" t="n">
        <v>0.8</v>
      </c>
      <c r="H69" t="n">
        <v>1</v>
      </c>
      <c r="I69" t="n">
        <v>0</v>
      </c>
      <c r="J69" t="n">
        <v>0</v>
      </c>
      <c r="K69" t="n">
        <v>0</v>
      </c>
      <c r="L69" t="n">
        <v>0</v>
      </c>
      <c r="M69" t="n">
        <v>0</v>
      </c>
      <c r="N69" t="n">
        <v>0</v>
      </c>
      <c r="O69" t="n">
        <v>0</v>
      </c>
      <c r="P69" t="n">
        <v>0</v>
      </c>
      <c r="Q69" t="n">
        <v>1</v>
      </c>
      <c r="R69" s="2" t="inlineStr">
        <is>
          <t>Kopparödla</t>
        </is>
      </c>
      <c r="S69">
        <f>HYPERLINK("https://klasma.github.io/Logging_1880/artfynd/A 11501-2025 artfynd.xlsx", "A 11501-2025")</f>
        <v/>
      </c>
      <c r="T69">
        <f>HYPERLINK("https://klasma.github.io/Logging_1880/kartor/A 11501-2025 karta.png", "A 11501-2025")</f>
        <v/>
      </c>
      <c r="V69">
        <f>HYPERLINK("https://klasma.github.io/Logging_1880/klagomål/A 11501-2025 FSC-klagomål.docx", "A 11501-2025")</f>
        <v/>
      </c>
      <c r="W69">
        <f>HYPERLINK("https://klasma.github.io/Logging_1880/klagomålsmail/A 11501-2025 FSC-klagomål mail.docx", "A 11501-2025")</f>
        <v/>
      </c>
      <c r="X69">
        <f>HYPERLINK("https://klasma.github.io/Logging_1880/tillsyn/A 11501-2025 tillsynsbegäran.docx", "A 11501-2025")</f>
        <v/>
      </c>
      <c r="Y69">
        <f>HYPERLINK("https://klasma.github.io/Logging_1880/tillsynsmail/A 11501-2025 tillsynsbegäran mail.docx", "A 11501-2025")</f>
        <v/>
      </c>
    </row>
    <row r="70" ht="15" customHeight="1">
      <c r="A70" t="inlineStr">
        <is>
          <t>A 57920-2024</t>
        </is>
      </c>
      <c r="B70" s="1" t="n">
        <v>45631.50894675926</v>
      </c>
      <c r="C70" s="1" t="n">
        <v>46089</v>
      </c>
      <c r="D70" t="inlineStr">
        <is>
          <t>ÖREBRO LÄN</t>
        </is>
      </c>
      <c r="E70" t="inlineStr">
        <is>
          <t>ÖREBRO</t>
        </is>
      </c>
      <c r="G70" t="n">
        <v>2.3</v>
      </c>
      <c r="H70" t="n">
        <v>1</v>
      </c>
      <c r="I70" t="n">
        <v>0</v>
      </c>
      <c r="J70" t="n">
        <v>0</v>
      </c>
      <c r="K70" t="n">
        <v>0</v>
      </c>
      <c r="L70" t="n">
        <v>0</v>
      </c>
      <c r="M70" t="n">
        <v>0</v>
      </c>
      <c r="N70" t="n">
        <v>0</v>
      </c>
      <c r="O70" t="n">
        <v>0</v>
      </c>
      <c r="P70" t="n">
        <v>0</v>
      </c>
      <c r="Q70" t="n">
        <v>1</v>
      </c>
      <c r="R70" s="2" t="inlineStr">
        <is>
          <t>Kungsfågel</t>
        </is>
      </c>
      <c r="S70">
        <f>HYPERLINK("https://klasma.github.io/Logging_1880/artfynd/A 57920-2024 artfynd.xlsx", "A 57920-2024")</f>
        <v/>
      </c>
      <c r="T70">
        <f>HYPERLINK("https://klasma.github.io/Logging_1880/kartor/A 57920-2024 karta.png", "A 57920-2024")</f>
        <v/>
      </c>
      <c r="V70">
        <f>HYPERLINK("https://klasma.github.io/Logging_1880/klagomål/A 57920-2024 FSC-klagomål.docx", "A 57920-2024")</f>
        <v/>
      </c>
      <c r="W70">
        <f>HYPERLINK("https://klasma.github.io/Logging_1880/klagomålsmail/A 57920-2024 FSC-klagomål mail.docx", "A 57920-2024")</f>
        <v/>
      </c>
      <c r="X70">
        <f>HYPERLINK("https://klasma.github.io/Logging_1880/tillsyn/A 57920-2024 tillsynsbegäran.docx", "A 57920-2024")</f>
        <v/>
      </c>
      <c r="Y70">
        <f>HYPERLINK("https://klasma.github.io/Logging_1880/tillsynsmail/A 57920-2024 tillsynsbegäran mail.docx", "A 57920-2024")</f>
        <v/>
      </c>
      <c r="Z70">
        <f>HYPERLINK("https://klasma.github.io/Logging_1880/fåglar/A 57920-2024 prioriterade fågelarter.docx", "A 57920-2024")</f>
        <v/>
      </c>
    </row>
    <row r="71" ht="15" customHeight="1">
      <c r="A71" t="inlineStr">
        <is>
          <t>A 42636-2023</t>
        </is>
      </c>
      <c r="B71" s="1" t="n">
        <v>45181.49559027778</v>
      </c>
      <c r="C71" s="1" t="n">
        <v>46089</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46089</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23606-2021</t>
        </is>
      </c>
      <c r="B73" s="1" t="n">
        <v>44334</v>
      </c>
      <c r="C73" s="1" t="n">
        <v>46089</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46089</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46089</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46089</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46089</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46089</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46089</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46089</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46089</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46089</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46089</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46089</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46089</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46089</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46089</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46089</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46089</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46089</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46089</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46089</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12433-2021</t>
        </is>
      </c>
      <c r="B93" s="1" t="n">
        <v>44267</v>
      </c>
      <c r="C93" s="1" t="n">
        <v>46089</v>
      </c>
      <c r="D93" t="inlineStr">
        <is>
          <t>ÖREBRO LÄN</t>
        </is>
      </c>
      <c r="E93" t="inlineStr">
        <is>
          <t>ÖREBRO</t>
        </is>
      </c>
      <c r="F93" t="inlineStr">
        <is>
          <t>Kommuner</t>
        </is>
      </c>
      <c r="G93" t="n">
        <v>1</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46089</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46089</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46089</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46089</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46089</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46089</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46089</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46089</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46089</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46089</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46089</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46089</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46089</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46089</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46089</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46089</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46089</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46089</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46089</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46089</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46089</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46089</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46089</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46089</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46089</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46089</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46089</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46089</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46089</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46089</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46089</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46089</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46089</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46089</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46089</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46089</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46089</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46089</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46089</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46089</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46089</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46089</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46089</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46089</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46089</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46089</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46089</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46089</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46089</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46089</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46089</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46089</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46089</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46089</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23863-2023</t>
        </is>
      </c>
      <c r="B149" s="1" t="n">
        <v>45078.48994212963</v>
      </c>
      <c r="C149" s="1" t="n">
        <v>46089</v>
      </c>
      <c r="D149" t="inlineStr">
        <is>
          <t>ÖREBRO LÄN</t>
        </is>
      </c>
      <c r="E149" t="inlineStr">
        <is>
          <t>ÖREBRO</t>
        </is>
      </c>
      <c r="F149" t="inlineStr">
        <is>
          <t>Övriga Aktiebolag</t>
        </is>
      </c>
      <c r="G149" t="n">
        <v>5.9</v>
      </c>
      <c r="H149" t="n">
        <v>0</v>
      </c>
      <c r="I149" t="n">
        <v>0</v>
      </c>
      <c r="J149" t="n">
        <v>0</v>
      </c>
      <c r="K149" t="n">
        <v>0</v>
      </c>
      <c r="L149" t="n">
        <v>0</v>
      </c>
      <c r="M149" t="n">
        <v>0</v>
      </c>
      <c r="N149" t="n">
        <v>0</v>
      </c>
      <c r="O149" t="n">
        <v>0</v>
      </c>
      <c r="P149" t="n">
        <v>0</v>
      </c>
      <c r="Q149" t="n">
        <v>0</v>
      </c>
      <c r="R149" s="2" t="inlineStr"/>
    </row>
    <row r="150" ht="15" customHeight="1">
      <c r="A150" t="inlineStr">
        <is>
          <t>A 14053-2025</t>
        </is>
      </c>
      <c r="B150" s="1" t="n">
        <v>45739</v>
      </c>
      <c r="C150" s="1" t="n">
        <v>46089</v>
      </c>
      <c r="D150" t="inlineStr">
        <is>
          <t>ÖREBRO LÄN</t>
        </is>
      </c>
      <c r="E150" t="inlineStr">
        <is>
          <t>ÖREBRO</t>
        </is>
      </c>
      <c r="G150" t="n">
        <v>3.5</v>
      </c>
      <c r="H150" t="n">
        <v>0</v>
      </c>
      <c r="I150" t="n">
        <v>0</v>
      </c>
      <c r="J150" t="n">
        <v>0</v>
      </c>
      <c r="K150" t="n">
        <v>0</v>
      </c>
      <c r="L150" t="n">
        <v>0</v>
      </c>
      <c r="M150" t="n">
        <v>0</v>
      </c>
      <c r="N150" t="n">
        <v>0</v>
      </c>
      <c r="O150" t="n">
        <v>0</v>
      </c>
      <c r="P150" t="n">
        <v>0</v>
      </c>
      <c r="Q150" t="n">
        <v>0</v>
      </c>
      <c r="R150" s="2" t="inlineStr"/>
    </row>
    <row r="151" ht="15" customHeight="1">
      <c r="A151" t="inlineStr">
        <is>
          <t>A 10799-2024</t>
        </is>
      </c>
      <c r="B151" s="1" t="n">
        <v>45369</v>
      </c>
      <c r="C151" s="1" t="n">
        <v>46089</v>
      </c>
      <c r="D151" t="inlineStr">
        <is>
          <t>ÖREBRO LÄN</t>
        </is>
      </c>
      <c r="E151" t="inlineStr">
        <is>
          <t>ÖREBRO</t>
        </is>
      </c>
      <c r="G151" t="n">
        <v>5.8</v>
      </c>
      <c r="H151" t="n">
        <v>0</v>
      </c>
      <c r="I151" t="n">
        <v>0</v>
      </c>
      <c r="J151" t="n">
        <v>0</v>
      </c>
      <c r="K151" t="n">
        <v>0</v>
      </c>
      <c r="L151" t="n">
        <v>0</v>
      </c>
      <c r="M151" t="n">
        <v>0</v>
      </c>
      <c r="N151" t="n">
        <v>0</v>
      </c>
      <c r="O151" t="n">
        <v>0</v>
      </c>
      <c r="P151" t="n">
        <v>0</v>
      </c>
      <c r="Q151" t="n">
        <v>0</v>
      </c>
      <c r="R151" s="2" t="inlineStr"/>
    </row>
    <row r="152" ht="15" customHeight="1">
      <c r="A152" t="inlineStr">
        <is>
          <t>A 9609-2023</t>
        </is>
      </c>
      <c r="B152" s="1" t="n">
        <v>44983.93344907407</v>
      </c>
      <c r="C152" s="1" t="n">
        <v>46089</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5795-2024</t>
        </is>
      </c>
      <c r="B153" s="1" t="n">
        <v>45335.4531712963</v>
      </c>
      <c r="C153" s="1" t="n">
        <v>46089</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59736-2023</t>
        </is>
      </c>
      <c r="B154" s="1" t="n">
        <v>45257.374375</v>
      </c>
      <c r="C154" s="1" t="n">
        <v>46089</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46089</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46089</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46089</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46089</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58532-2024</t>
        </is>
      </c>
      <c r="B159" s="1" t="n">
        <v>45635.44899305556</v>
      </c>
      <c r="C159" s="1" t="n">
        <v>46089</v>
      </c>
      <c r="D159" t="inlineStr">
        <is>
          <t>ÖREBRO LÄN</t>
        </is>
      </c>
      <c r="E159" t="inlineStr">
        <is>
          <t>ÖREBRO</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10470-2025</t>
        </is>
      </c>
      <c r="B160" s="1" t="n">
        <v>45720</v>
      </c>
      <c r="C160" s="1" t="n">
        <v>46089</v>
      </c>
      <c r="D160" t="inlineStr">
        <is>
          <t>ÖREBRO LÄN</t>
        </is>
      </c>
      <c r="E160" t="inlineStr">
        <is>
          <t>ÖREBRO</t>
        </is>
      </c>
      <c r="G160" t="n">
        <v>11.5</v>
      </c>
      <c r="H160" t="n">
        <v>0</v>
      </c>
      <c r="I160" t="n">
        <v>0</v>
      </c>
      <c r="J160" t="n">
        <v>0</v>
      </c>
      <c r="K160" t="n">
        <v>0</v>
      </c>
      <c r="L160" t="n">
        <v>0</v>
      </c>
      <c r="M160" t="n">
        <v>0</v>
      </c>
      <c r="N160" t="n">
        <v>0</v>
      </c>
      <c r="O160" t="n">
        <v>0</v>
      </c>
      <c r="P160" t="n">
        <v>0</v>
      </c>
      <c r="Q160" t="n">
        <v>0</v>
      </c>
      <c r="R160" s="2" t="inlineStr"/>
    </row>
    <row r="161" ht="15" customHeight="1">
      <c r="A161" t="inlineStr">
        <is>
          <t>A 52623-2024</t>
        </is>
      </c>
      <c r="B161" s="1" t="n">
        <v>45609</v>
      </c>
      <c r="C161" s="1" t="n">
        <v>46089</v>
      </c>
      <c r="D161" t="inlineStr">
        <is>
          <t>ÖREBRO LÄN</t>
        </is>
      </c>
      <c r="E161" t="inlineStr">
        <is>
          <t>ÖREBRO</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13762-2023</t>
        </is>
      </c>
      <c r="B162" s="1" t="n">
        <v>45007.43729166667</v>
      </c>
      <c r="C162" s="1" t="n">
        <v>46089</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187-2024</t>
        </is>
      </c>
      <c r="B163" s="1" t="n">
        <v>45294</v>
      </c>
      <c r="C163" s="1" t="n">
        <v>46089</v>
      </c>
      <c r="D163" t="inlineStr">
        <is>
          <t>ÖREBRO LÄN</t>
        </is>
      </c>
      <c r="E163" t="inlineStr">
        <is>
          <t>ÖREBRO</t>
        </is>
      </c>
      <c r="G163" t="n">
        <v>5.9</v>
      </c>
      <c r="H163" t="n">
        <v>0</v>
      </c>
      <c r="I163" t="n">
        <v>0</v>
      </c>
      <c r="J163" t="n">
        <v>0</v>
      </c>
      <c r="K163" t="n">
        <v>0</v>
      </c>
      <c r="L163" t="n">
        <v>0</v>
      </c>
      <c r="M163" t="n">
        <v>0</v>
      </c>
      <c r="N163" t="n">
        <v>0</v>
      </c>
      <c r="O163" t="n">
        <v>0</v>
      </c>
      <c r="P163" t="n">
        <v>0</v>
      </c>
      <c r="Q163" t="n">
        <v>0</v>
      </c>
      <c r="R163" s="2" t="inlineStr"/>
    </row>
    <row r="164" ht="15" customHeight="1">
      <c r="A164" t="inlineStr">
        <is>
          <t>A 60022-2024</t>
        </is>
      </c>
      <c r="B164" s="1" t="n">
        <v>45642</v>
      </c>
      <c r="C164" s="1" t="n">
        <v>46089</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50026-2024</t>
        </is>
      </c>
      <c r="B165" s="1" t="n">
        <v>45599.60541666667</v>
      </c>
      <c r="C165" s="1" t="n">
        <v>46089</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71288-2021</t>
        </is>
      </c>
      <c r="B166" s="1" t="n">
        <v>44539.62481481482</v>
      </c>
      <c r="C166" s="1" t="n">
        <v>46089</v>
      </c>
      <c r="D166" t="inlineStr">
        <is>
          <t>ÖREBRO LÄN</t>
        </is>
      </c>
      <c r="E166" t="inlineStr">
        <is>
          <t>ÖREBRO</t>
        </is>
      </c>
      <c r="G166" t="n">
        <v>3.9</v>
      </c>
      <c r="H166" t="n">
        <v>0</v>
      </c>
      <c r="I166" t="n">
        <v>0</v>
      </c>
      <c r="J166" t="n">
        <v>0</v>
      </c>
      <c r="K166" t="n">
        <v>0</v>
      </c>
      <c r="L166" t="n">
        <v>0</v>
      </c>
      <c r="M166" t="n">
        <v>0</v>
      </c>
      <c r="N166" t="n">
        <v>0</v>
      </c>
      <c r="O166" t="n">
        <v>0</v>
      </c>
      <c r="P166" t="n">
        <v>0</v>
      </c>
      <c r="Q166" t="n">
        <v>0</v>
      </c>
      <c r="R166" s="2" t="inlineStr"/>
    </row>
    <row r="167" ht="15" customHeight="1">
      <c r="A167" t="inlineStr">
        <is>
          <t>A 62794-2021</t>
        </is>
      </c>
      <c r="B167" s="1" t="n">
        <v>44504</v>
      </c>
      <c r="C167" s="1" t="n">
        <v>46089</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45237-2023</t>
        </is>
      </c>
      <c r="B168" s="1" t="n">
        <v>45191</v>
      </c>
      <c r="C168" s="1" t="n">
        <v>46089</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16739-2023</t>
        </is>
      </c>
      <c r="B169" s="1" t="n">
        <v>45030.72627314815</v>
      </c>
      <c r="C169" s="1" t="n">
        <v>46089</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19180-2025</t>
        </is>
      </c>
      <c r="B170" s="1" t="n">
        <v>45769.40133101852</v>
      </c>
      <c r="C170" s="1" t="n">
        <v>46089</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37022-2024</t>
        </is>
      </c>
      <c r="B171" s="1" t="n">
        <v>45539.3822337963</v>
      </c>
      <c r="C171" s="1" t="n">
        <v>46089</v>
      </c>
      <c r="D171" t="inlineStr">
        <is>
          <t>ÖREBRO LÄN</t>
        </is>
      </c>
      <c r="E171" t="inlineStr">
        <is>
          <t>ÖREBRO</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37024-2024</t>
        </is>
      </c>
      <c r="B172" s="1" t="n">
        <v>45539.38329861111</v>
      </c>
      <c r="C172" s="1" t="n">
        <v>46089</v>
      </c>
      <c r="D172" t="inlineStr">
        <is>
          <t>ÖREBRO LÄN</t>
        </is>
      </c>
      <c r="E172" t="inlineStr">
        <is>
          <t>ÖREBRO</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47047-2022</t>
        </is>
      </c>
      <c r="B173" s="1" t="n">
        <v>44852.39063657408</v>
      </c>
      <c r="C173" s="1" t="n">
        <v>46089</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49465-2024</t>
        </is>
      </c>
      <c r="B174" s="1" t="n">
        <v>45596</v>
      </c>
      <c r="C174" s="1" t="n">
        <v>46089</v>
      </c>
      <c r="D174" t="inlineStr">
        <is>
          <t>ÖREBRO LÄN</t>
        </is>
      </c>
      <c r="E174" t="inlineStr">
        <is>
          <t>ÖREBRO</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58598-2022</t>
        </is>
      </c>
      <c r="B175" s="1" t="n">
        <v>44902</v>
      </c>
      <c r="C175" s="1" t="n">
        <v>46089</v>
      </c>
      <c r="D175" t="inlineStr">
        <is>
          <t>ÖREBRO LÄN</t>
        </is>
      </c>
      <c r="E175" t="inlineStr">
        <is>
          <t>ÖREBRO</t>
        </is>
      </c>
      <c r="G175" t="n">
        <v>0.4</v>
      </c>
      <c r="H175" t="n">
        <v>0</v>
      </c>
      <c r="I175" t="n">
        <v>0</v>
      </c>
      <c r="J175" t="n">
        <v>0</v>
      </c>
      <c r="K175" t="n">
        <v>0</v>
      </c>
      <c r="L175" t="n">
        <v>0</v>
      </c>
      <c r="M175" t="n">
        <v>0</v>
      </c>
      <c r="N175" t="n">
        <v>0</v>
      </c>
      <c r="O175" t="n">
        <v>0</v>
      </c>
      <c r="P175" t="n">
        <v>0</v>
      </c>
      <c r="Q175" t="n">
        <v>0</v>
      </c>
      <c r="R175" s="2" t="inlineStr"/>
    </row>
    <row r="176" ht="15" customHeight="1">
      <c r="A176" t="inlineStr">
        <is>
          <t>A 38842-2022</t>
        </is>
      </c>
      <c r="B176" s="1" t="n">
        <v>44814</v>
      </c>
      <c r="C176" s="1" t="n">
        <v>46089</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58684-2023</t>
        </is>
      </c>
      <c r="B177" s="1" t="n">
        <v>45251</v>
      </c>
      <c r="C177" s="1" t="n">
        <v>46089</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37771-2024</t>
        </is>
      </c>
      <c r="B178" s="1" t="n">
        <v>45542.31359953704</v>
      </c>
      <c r="C178" s="1" t="n">
        <v>46089</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13158-2024</t>
        </is>
      </c>
      <c r="B179" s="1" t="n">
        <v>45386.38728009259</v>
      </c>
      <c r="C179" s="1" t="n">
        <v>46089</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5406-2025</t>
        </is>
      </c>
      <c r="B180" s="1" t="n">
        <v>45692.64821759259</v>
      </c>
      <c r="C180" s="1" t="n">
        <v>46089</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52018-2024</t>
        </is>
      </c>
      <c r="B181" s="1" t="n">
        <v>45607.82974537037</v>
      </c>
      <c r="C181" s="1" t="n">
        <v>46089</v>
      </c>
      <c r="D181" t="inlineStr">
        <is>
          <t>ÖREBRO LÄN</t>
        </is>
      </c>
      <c r="E181" t="inlineStr">
        <is>
          <t>ÖREBRO</t>
        </is>
      </c>
      <c r="G181" t="n">
        <v>4.3</v>
      </c>
      <c r="H181" t="n">
        <v>0</v>
      </c>
      <c r="I181" t="n">
        <v>0</v>
      </c>
      <c r="J181" t="n">
        <v>0</v>
      </c>
      <c r="K181" t="n">
        <v>0</v>
      </c>
      <c r="L181" t="n">
        <v>0</v>
      </c>
      <c r="M181" t="n">
        <v>0</v>
      </c>
      <c r="N181" t="n">
        <v>0</v>
      </c>
      <c r="O181" t="n">
        <v>0</v>
      </c>
      <c r="P181" t="n">
        <v>0</v>
      </c>
      <c r="Q181" t="n">
        <v>0</v>
      </c>
      <c r="R181" s="2" t="inlineStr"/>
    </row>
    <row r="182" ht="15" customHeight="1">
      <c r="A182" t="inlineStr">
        <is>
          <t>A 51331-2023</t>
        </is>
      </c>
      <c r="B182" s="1" t="n">
        <v>45219</v>
      </c>
      <c r="C182" s="1" t="n">
        <v>46089</v>
      </c>
      <c r="D182" t="inlineStr">
        <is>
          <t>ÖREBRO LÄN</t>
        </is>
      </c>
      <c r="E182" t="inlineStr">
        <is>
          <t>ÖREBRO</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34358-2022</t>
        </is>
      </c>
      <c r="B183" s="1" t="n">
        <v>44792.45494212963</v>
      </c>
      <c r="C183" s="1" t="n">
        <v>46089</v>
      </c>
      <c r="D183" t="inlineStr">
        <is>
          <t>ÖREBRO LÄN</t>
        </is>
      </c>
      <c r="E183" t="inlineStr">
        <is>
          <t>ÖREBRO</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7275-2026</t>
        </is>
      </c>
      <c r="B184" s="1" t="n">
        <v>46058.6259375</v>
      </c>
      <c r="C184" s="1" t="n">
        <v>46089</v>
      </c>
      <c r="D184" t="inlineStr">
        <is>
          <t>ÖREBRO LÄN</t>
        </is>
      </c>
      <c r="E184" t="inlineStr">
        <is>
          <t>ÖREBRO</t>
        </is>
      </c>
      <c r="F184" t="inlineStr">
        <is>
          <t>Övriga Aktiebolag</t>
        </is>
      </c>
      <c r="G184" t="n">
        <v>5.2</v>
      </c>
      <c r="H184" t="n">
        <v>0</v>
      </c>
      <c r="I184" t="n">
        <v>0</v>
      </c>
      <c r="J184" t="n">
        <v>0</v>
      </c>
      <c r="K184" t="n">
        <v>0</v>
      </c>
      <c r="L184" t="n">
        <v>0</v>
      </c>
      <c r="M184" t="n">
        <v>0</v>
      </c>
      <c r="N184" t="n">
        <v>0</v>
      </c>
      <c r="O184" t="n">
        <v>0</v>
      </c>
      <c r="P184" t="n">
        <v>0</v>
      </c>
      <c r="Q184" t="n">
        <v>0</v>
      </c>
      <c r="R184" s="2" t="inlineStr"/>
    </row>
    <row r="185" ht="15" customHeight="1">
      <c r="A185" t="inlineStr">
        <is>
          <t>A 41678-2024</t>
        </is>
      </c>
      <c r="B185" s="1" t="n">
        <v>45560</v>
      </c>
      <c r="C185" s="1" t="n">
        <v>46089</v>
      </c>
      <c r="D185" t="inlineStr">
        <is>
          <t>ÖREBRO LÄN</t>
        </is>
      </c>
      <c r="E185" t="inlineStr">
        <is>
          <t>ÖREBRO</t>
        </is>
      </c>
      <c r="G185" t="n">
        <v>11.3</v>
      </c>
      <c r="H185" t="n">
        <v>0</v>
      </c>
      <c r="I185" t="n">
        <v>0</v>
      </c>
      <c r="J185" t="n">
        <v>0</v>
      </c>
      <c r="K185" t="n">
        <v>0</v>
      </c>
      <c r="L185" t="n">
        <v>0</v>
      </c>
      <c r="M185" t="n">
        <v>0</v>
      </c>
      <c r="N185" t="n">
        <v>0</v>
      </c>
      <c r="O185" t="n">
        <v>0</v>
      </c>
      <c r="P185" t="n">
        <v>0</v>
      </c>
      <c r="Q185" t="n">
        <v>0</v>
      </c>
      <c r="R185" s="2" t="inlineStr"/>
    </row>
    <row r="186" ht="15" customHeight="1">
      <c r="A186" t="inlineStr">
        <is>
          <t>A 22348-2024</t>
        </is>
      </c>
      <c r="B186" s="1" t="n">
        <v>45446.61256944444</v>
      </c>
      <c r="C186" s="1" t="n">
        <v>46089</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13418-2024</t>
        </is>
      </c>
      <c r="B187" s="1" t="n">
        <v>45387.46482638889</v>
      </c>
      <c r="C187" s="1" t="n">
        <v>46089</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34874-2022</t>
        </is>
      </c>
      <c r="B188" s="1" t="n">
        <v>44796</v>
      </c>
      <c r="C188" s="1" t="n">
        <v>46089</v>
      </c>
      <c r="D188" t="inlineStr">
        <is>
          <t>ÖREBRO LÄN</t>
        </is>
      </c>
      <c r="E188" t="inlineStr">
        <is>
          <t>ÖREBRO</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7220-2026</t>
        </is>
      </c>
      <c r="B189" s="1" t="n">
        <v>46058.56126157408</v>
      </c>
      <c r="C189" s="1" t="n">
        <v>46089</v>
      </c>
      <c r="D189" t="inlineStr">
        <is>
          <t>ÖREBRO LÄN</t>
        </is>
      </c>
      <c r="E189" t="inlineStr">
        <is>
          <t>ÖREBRO</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7227-2026</t>
        </is>
      </c>
      <c r="B190" s="1" t="n">
        <v>46058.56858796296</v>
      </c>
      <c r="C190" s="1" t="n">
        <v>46089</v>
      </c>
      <c r="D190" t="inlineStr">
        <is>
          <t>ÖREBRO LÄN</t>
        </is>
      </c>
      <c r="E190" t="inlineStr">
        <is>
          <t>ÖREBRO</t>
        </is>
      </c>
      <c r="F190" t="inlineStr">
        <is>
          <t>Övriga Aktiebolag</t>
        </is>
      </c>
      <c r="G190" t="n">
        <v>0.7</v>
      </c>
      <c r="H190" t="n">
        <v>0</v>
      </c>
      <c r="I190" t="n">
        <v>0</v>
      </c>
      <c r="J190" t="n">
        <v>0</v>
      </c>
      <c r="K190" t="n">
        <v>0</v>
      </c>
      <c r="L190" t="n">
        <v>0</v>
      </c>
      <c r="M190" t="n">
        <v>0</v>
      </c>
      <c r="N190" t="n">
        <v>0</v>
      </c>
      <c r="O190" t="n">
        <v>0</v>
      </c>
      <c r="P190" t="n">
        <v>0</v>
      </c>
      <c r="Q190" t="n">
        <v>0</v>
      </c>
      <c r="R190" s="2" t="inlineStr"/>
    </row>
    <row r="191" ht="15" customHeight="1">
      <c r="A191" t="inlineStr">
        <is>
          <t>A 15695-2024</t>
        </is>
      </c>
      <c r="B191" s="1" t="n">
        <v>45404.45487268519</v>
      </c>
      <c r="C191" s="1" t="n">
        <v>46089</v>
      </c>
      <c r="D191" t="inlineStr">
        <is>
          <t>ÖREBRO LÄN</t>
        </is>
      </c>
      <c r="E191" t="inlineStr">
        <is>
          <t>ÖREBRO</t>
        </is>
      </c>
      <c r="G191" t="n">
        <v>2.7</v>
      </c>
      <c r="H191" t="n">
        <v>0</v>
      </c>
      <c r="I191" t="n">
        <v>0</v>
      </c>
      <c r="J191" t="n">
        <v>0</v>
      </c>
      <c r="K191" t="n">
        <v>0</v>
      </c>
      <c r="L191" t="n">
        <v>0</v>
      </c>
      <c r="M191" t="n">
        <v>0</v>
      </c>
      <c r="N191" t="n">
        <v>0</v>
      </c>
      <c r="O191" t="n">
        <v>0</v>
      </c>
      <c r="P191" t="n">
        <v>0</v>
      </c>
      <c r="Q191" t="n">
        <v>0</v>
      </c>
      <c r="R191" s="2" t="inlineStr"/>
    </row>
    <row r="192" ht="15" customHeight="1">
      <c r="A192" t="inlineStr">
        <is>
          <t>A 30089-2024</t>
        </is>
      </c>
      <c r="B192" s="1" t="n">
        <v>45485</v>
      </c>
      <c r="C192" s="1" t="n">
        <v>46089</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7550-2026</t>
        </is>
      </c>
      <c r="B193" s="1" t="n">
        <v>46059.68496527777</v>
      </c>
      <c r="C193" s="1" t="n">
        <v>46089</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5643-2025</t>
        </is>
      </c>
      <c r="B194" s="1" t="n">
        <v>45693</v>
      </c>
      <c r="C194" s="1" t="n">
        <v>46089</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852-2025</t>
        </is>
      </c>
      <c r="B195" s="1" t="n">
        <v>45665.60148148148</v>
      </c>
      <c r="C195" s="1" t="n">
        <v>46089</v>
      </c>
      <c r="D195" t="inlineStr">
        <is>
          <t>ÖREBRO LÄN</t>
        </is>
      </c>
      <c r="E195" t="inlineStr">
        <is>
          <t>ÖREBRO</t>
        </is>
      </c>
      <c r="G195" t="n">
        <v>2.9</v>
      </c>
      <c r="H195" t="n">
        <v>0</v>
      </c>
      <c r="I195" t="n">
        <v>0</v>
      </c>
      <c r="J195" t="n">
        <v>0</v>
      </c>
      <c r="K195" t="n">
        <v>0</v>
      </c>
      <c r="L195" t="n">
        <v>0</v>
      </c>
      <c r="M195" t="n">
        <v>0</v>
      </c>
      <c r="N195" t="n">
        <v>0</v>
      </c>
      <c r="O195" t="n">
        <v>0</v>
      </c>
      <c r="P195" t="n">
        <v>0</v>
      </c>
      <c r="Q195" t="n">
        <v>0</v>
      </c>
      <c r="R195" s="2" t="inlineStr"/>
    </row>
    <row r="196" ht="15" customHeight="1">
      <c r="A196" t="inlineStr">
        <is>
          <t>A 46030-2024</t>
        </is>
      </c>
      <c r="B196" s="1" t="n">
        <v>45580.70377314815</v>
      </c>
      <c r="C196" s="1" t="n">
        <v>46089</v>
      </c>
      <c r="D196" t="inlineStr">
        <is>
          <t>ÖREBRO LÄN</t>
        </is>
      </c>
      <c r="E196" t="inlineStr">
        <is>
          <t>ÖREBRO</t>
        </is>
      </c>
      <c r="G196" t="n">
        <v>3.9</v>
      </c>
      <c r="H196" t="n">
        <v>0</v>
      </c>
      <c r="I196" t="n">
        <v>0</v>
      </c>
      <c r="J196" t="n">
        <v>0</v>
      </c>
      <c r="K196" t="n">
        <v>0</v>
      </c>
      <c r="L196" t="n">
        <v>0</v>
      </c>
      <c r="M196" t="n">
        <v>0</v>
      </c>
      <c r="N196" t="n">
        <v>0</v>
      </c>
      <c r="O196" t="n">
        <v>0</v>
      </c>
      <c r="P196" t="n">
        <v>0</v>
      </c>
      <c r="Q196" t="n">
        <v>0</v>
      </c>
      <c r="R196" s="2" t="inlineStr"/>
    </row>
    <row r="197" ht="15" customHeight="1">
      <c r="A197" t="inlineStr">
        <is>
          <t>A 5342-2024</t>
        </is>
      </c>
      <c r="B197" s="1" t="n">
        <v>45331.44145833333</v>
      </c>
      <c r="C197" s="1" t="n">
        <v>46089</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71295-2021</t>
        </is>
      </c>
      <c r="B198" s="1" t="n">
        <v>44539.63009259259</v>
      </c>
      <c r="C198" s="1" t="n">
        <v>46089</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row>
    <row r="199" ht="15" customHeight="1">
      <c r="A199" t="inlineStr">
        <is>
          <t>A 64018-2025</t>
        </is>
      </c>
      <c r="B199" s="1" t="n">
        <v>46021.4546412037</v>
      </c>
      <c r="C199" s="1" t="n">
        <v>46089</v>
      </c>
      <c r="D199" t="inlineStr">
        <is>
          <t>ÖREBRO LÄN</t>
        </is>
      </c>
      <c r="E199" t="inlineStr">
        <is>
          <t>ÖREBRO</t>
        </is>
      </c>
      <c r="G199" t="n">
        <v>2.9</v>
      </c>
      <c r="H199" t="n">
        <v>0</v>
      </c>
      <c r="I199" t="n">
        <v>0</v>
      </c>
      <c r="J199" t="n">
        <v>0</v>
      </c>
      <c r="K199" t="n">
        <v>0</v>
      </c>
      <c r="L199" t="n">
        <v>0</v>
      </c>
      <c r="M199" t="n">
        <v>0</v>
      </c>
      <c r="N199" t="n">
        <v>0</v>
      </c>
      <c r="O199" t="n">
        <v>0</v>
      </c>
      <c r="P199" t="n">
        <v>0</v>
      </c>
      <c r="Q199" t="n">
        <v>0</v>
      </c>
      <c r="R199" s="2" t="inlineStr"/>
    </row>
    <row r="200" ht="15" customHeight="1">
      <c r="A200" t="inlineStr">
        <is>
          <t>A 11516-2024</t>
        </is>
      </c>
      <c r="B200" s="1" t="n">
        <v>45372</v>
      </c>
      <c r="C200" s="1" t="n">
        <v>46089</v>
      </c>
      <c r="D200" t="inlineStr">
        <is>
          <t>ÖREBRO LÄN</t>
        </is>
      </c>
      <c r="E200" t="inlineStr">
        <is>
          <t>ÖREBRO</t>
        </is>
      </c>
      <c r="G200" t="n">
        <v>10.7</v>
      </c>
      <c r="H200" t="n">
        <v>0</v>
      </c>
      <c r="I200" t="n">
        <v>0</v>
      </c>
      <c r="J200" t="n">
        <v>0</v>
      </c>
      <c r="K200" t="n">
        <v>0</v>
      </c>
      <c r="L200" t="n">
        <v>0</v>
      </c>
      <c r="M200" t="n">
        <v>0</v>
      </c>
      <c r="N200" t="n">
        <v>0</v>
      </c>
      <c r="O200" t="n">
        <v>0</v>
      </c>
      <c r="P200" t="n">
        <v>0</v>
      </c>
      <c r="Q200" t="n">
        <v>0</v>
      </c>
      <c r="R200" s="2" t="inlineStr"/>
    </row>
    <row r="201" ht="15" customHeight="1">
      <c r="A201" t="inlineStr">
        <is>
          <t>A 38583-2023</t>
        </is>
      </c>
      <c r="B201" s="1" t="n">
        <v>45162.62861111111</v>
      </c>
      <c r="C201" s="1" t="n">
        <v>46089</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6254-2026</t>
        </is>
      </c>
      <c r="B202" s="1" t="n">
        <v>46055</v>
      </c>
      <c r="C202" s="1" t="n">
        <v>46089</v>
      </c>
      <c r="D202" t="inlineStr">
        <is>
          <t>ÖREBRO LÄN</t>
        </is>
      </c>
      <c r="E202" t="inlineStr">
        <is>
          <t>ÖREBRO</t>
        </is>
      </c>
      <c r="G202" t="n">
        <v>2.8</v>
      </c>
      <c r="H202" t="n">
        <v>0</v>
      </c>
      <c r="I202" t="n">
        <v>0</v>
      </c>
      <c r="J202" t="n">
        <v>0</v>
      </c>
      <c r="K202" t="n">
        <v>0</v>
      </c>
      <c r="L202" t="n">
        <v>0</v>
      </c>
      <c r="M202" t="n">
        <v>0</v>
      </c>
      <c r="N202" t="n">
        <v>0</v>
      </c>
      <c r="O202" t="n">
        <v>0</v>
      </c>
      <c r="P202" t="n">
        <v>0</v>
      </c>
      <c r="Q202" t="n">
        <v>0</v>
      </c>
      <c r="R202" s="2" t="inlineStr"/>
    </row>
    <row r="203" ht="15" customHeight="1">
      <c r="A203" t="inlineStr">
        <is>
          <t>A 55745-2023</t>
        </is>
      </c>
      <c r="B203" s="1" t="n">
        <v>45239.44811342593</v>
      </c>
      <c r="C203" s="1" t="n">
        <v>46089</v>
      </c>
      <c r="D203" t="inlineStr">
        <is>
          <t>ÖREBRO LÄN</t>
        </is>
      </c>
      <c r="E203" t="inlineStr">
        <is>
          <t>ÖREBRO</t>
        </is>
      </c>
      <c r="G203" t="n">
        <v>13.3</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46089</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46089</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38573-2023</t>
        </is>
      </c>
      <c r="B206" s="1" t="n">
        <v>45162.61837962963</v>
      </c>
      <c r="C206" s="1" t="n">
        <v>46089</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46089</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39446-2025</t>
        </is>
      </c>
      <c r="B208" s="1" t="n">
        <v>45889.70388888889</v>
      </c>
      <c r="C208" s="1" t="n">
        <v>46089</v>
      </c>
      <c r="D208" t="inlineStr">
        <is>
          <t>ÖREBRO LÄN</t>
        </is>
      </c>
      <c r="E208" t="inlineStr">
        <is>
          <t>ÖREBRO</t>
        </is>
      </c>
      <c r="F208" t="inlineStr">
        <is>
          <t>Kyrkan</t>
        </is>
      </c>
      <c r="G208" t="n">
        <v>3.2</v>
      </c>
      <c r="H208" t="n">
        <v>0</v>
      </c>
      <c r="I208" t="n">
        <v>0</v>
      </c>
      <c r="J208" t="n">
        <v>0</v>
      </c>
      <c r="K208" t="n">
        <v>0</v>
      </c>
      <c r="L208" t="n">
        <v>0</v>
      </c>
      <c r="M208" t="n">
        <v>0</v>
      </c>
      <c r="N208" t="n">
        <v>0</v>
      </c>
      <c r="O208" t="n">
        <v>0</v>
      </c>
      <c r="P208" t="n">
        <v>0</v>
      </c>
      <c r="Q208" t="n">
        <v>0</v>
      </c>
      <c r="R208" s="2" t="inlineStr"/>
    </row>
    <row r="209" ht="15" customHeight="1">
      <c r="A209" t="inlineStr">
        <is>
          <t>A 46323-2024</t>
        </is>
      </c>
      <c r="B209" s="1" t="n">
        <v>45581.84538194445</v>
      </c>
      <c r="C209" s="1" t="n">
        <v>46089</v>
      </c>
      <c r="D209" t="inlineStr">
        <is>
          <t>ÖREBRO LÄN</t>
        </is>
      </c>
      <c r="E209" t="inlineStr">
        <is>
          <t>ÖREBRO</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13856-2022</t>
        </is>
      </c>
      <c r="B210" s="1" t="n">
        <v>44649.6965162037</v>
      </c>
      <c r="C210" s="1" t="n">
        <v>46089</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25519-2025</t>
        </is>
      </c>
      <c r="B211" s="1" t="n">
        <v>45803.38447916666</v>
      </c>
      <c r="C211" s="1" t="n">
        <v>46089</v>
      </c>
      <c r="D211" t="inlineStr">
        <is>
          <t>ÖREBRO LÄN</t>
        </is>
      </c>
      <c r="E211" t="inlineStr">
        <is>
          <t>ÖREBRO</t>
        </is>
      </c>
      <c r="G211" t="n">
        <v>7.4</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45224.51471064815</v>
      </c>
      <c r="C212" s="1" t="n">
        <v>46089</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39479-2025</t>
        </is>
      </c>
      <c r="B213" s="1" t="n">
        <v>45890.34752314815</v>
      </c>
      <c r="C213" s="1" t="n">
        <v>46089</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64019-2025</t>
        </is>
      </c>
      <c r="B214" s="1" t="n">
        <v>46021.45914351852</v>
      </c>
      <c r="C214" s="1" t="n">
        <v>46089</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60289-2023</t>
        </is>
      </c>
      <c r="B215" s="1" t="n">
        <v>45257</v>
      </c>
      <c r="C215" s="1" t="n">
        <v>46089</v>
      </c>
      <c r="D215" t="inlineStr">
        <is>
          <t>ÖREBRO LÄN</t>
        </is>
      </c>
      <c r="E215" t="inlineStr">
        <is>
          <t>ÖREBRO</t>
        </is>
      </c>
      <c r="G215" t="n">
        <v>10.9</v>
      </c>
      <c r="H215" t="n">
        <v>0</v>
      </c>
      <c r="I215" t="n">
        <v>0</v>
      </c>
      <c r="J215" t="n">
        <v>0</v>
      </c>
      <c r="K215" t="n">
        <v>0</v>
      </c>
      <c r="L215" t="n">
        <v>0</v>
      </c>
      <c r="M215" t="n">
        <v>0</v>
      </c>
      <c r="N215" t="n">
        <v>0</v>
      </c>
      <c r="O215" t="n">
        <v>0</v>
      </c>
      <c r="P215" t="n">
        <v>0</v>
      </c>
      <c r="Q215" t="n">
        <v>0</v>
      </c>
      <c r="R215" s="2" t="inlineStr"/>
    </row>
    <row r="216" ht="15" customHeight="1">
      <c r="A216" t="inlineStr">
        <is>
          <t>A 12017-2024</t>
        </is>
      </c>
      <c r="B216" s="1" t="n">
        <v>45377</v>
      </c>
      <c r="C216" s="1" t="n">
        <v>46089</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54678-2023</t>
        </is>
      </c>
      <c r="B217" s="1" t="n">
        <v>45235</v>
      </c>
      <c r="C217" s="1" t="n">
        <v>46089</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40330-2025</t>
        </is>
      </c>
      <c r="B218" s="1" t="n">
        <v>45895.4531712963</v>
      </c>
      <c r="C218" s="1" t="n">
        <v>46089</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40332-2025</t>
        </is>
      </c>
      <c r="B219" s="1" t="n">
        <v>45895.46060185185</v>
      </c>
      <c r="C219" s="1" t="n">
        <v>46089</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190-2024</t>
        </is>
      </c>
      <c r="B220" s="1" t="n">
        <v>45294.61858796296</v>
      </c>
      <c r="C220" s="1" t="n">
        <v>46089</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44511-2023</t>
        </is>
      </c>
      <c r="B221" s="1" t="n">
        <v>45189</v>
      </c>
      <c r="C221" s="1" t="n">
        <v>46089</v>
      </c>
      <c r="D221" t="inlineStr">
        <is>
          <t>ÖREBRO LÄN</t>
        </is>
      </c>
      <c r="E221" t="inlineStr">
        <is>
          <t>ÖREBRO</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48644-2024</t>
        </is>
      </c>
      <c r="B222" s="1" t="n">
        <v>45593.47466435185</v>
      </c>
      <c r="C222" s="1" t="n">
        <v>46089</v>
      </c>
      <c r="D222" t="inlineStr">
        <is>
          <t>ÖREBRO LÄN</t>
        </is>
      </c>
      <c r="E222" t="inlineStr">
        <is>
          <t>ÖREBRO</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52447-2024</t>
        </is>
      </c>
      <c r="B223" s="1" t="n">
        <v>45609.49157407408</v>
      </c>
      <c r="C223" s="1" t="n">
        <v>46089</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43803-2023</t>
        </is>
      </c>
      <c r="B224" s="1" t="n">
        <v>45187</v>
      </c>
      <c r="C224" s="1" t="n">
        <v>46089</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55943-2024</t>
        </is>
      </c>
      <c r="B225" s="1" t="n">
        <v>45623.61278935185</v>
      </c>
      <c r="C225" s="1" t="n">
        <v>46089</v>
      </c>
      <c r="D225" t="inlineStr">
        <is>
          <t>ÖREBRO LÄN</t>
        </is>
      </c>
      <c r="E225" t="inlineStr">
        <is>
          <t>ÖREBRO</t>
        </is>
      </c>
      <c r="G225" t="n">
        <v>4.8</v>
      </c>
      <c r="H225" t="n">
        <v>0</v>
      </c>
      <c r="I225" t="n">
        <v>0</v>
      </c>
      <c r="J225" t="n">
        <v>0</v>
      </c>
      <c r="K225" t="n">
        <v>0</v>
      </c>
      <c r="L225" t="n">
        <v>0</v>
      </c>
      <c r="M225" t="n">
        <v>0</v>
      </c>
      <c r="N225" t="n">
        <v>0</v>
      </c>
      <c r="O225" t="n">
        <v>0</v>
      </c>
      <c r="P225" t="n">
        <v>0</v>
      </c>
      <c r="Q225" t="n">
        <v>0</v>
      </c>
      <c r="R225" s="2" t="inlineStr"/>
    </row>
    <row r="226" ht="15" customHeight="1">
      <c r="A226" t="inlineStr">
        <is>
          <t>A 60028-2024</t>
        </is>
      </c>
      <c r="B226" s="1" t="n">
        <v>45642</v>
      </c>
      <c r="C226" s="1" t="n">
        <v>46089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6794-2025</t>
        </is>
      </c>
      <c r="B227" s="1" t="n">
        <v>45700.66429398148</v>
      </c>
      <c r="C227" s="1" t="n">
        <v>46089</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41412-2025</t>
        </is>
      </c>
      <c r="B228" s="1" t="n">
        <v>45901.3549537037</v>
      </c>
      <c r="C228" s="1" t="n">
        <v>46089</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2596-2022</t>
        </is>
      </c>
      <c r="B229" s="1" t="n">
        <v>44580</v>
      </c>
      <c r="C229" s="1" t="n">
        <v>46089</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46089</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13857-2022</t>
        </is>
      </c>
      <c r="B231" s="1" t="n">
        <v>44649</v>
      </c>
      <c r="C231" s="1" t="n">
        <v>46089</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27180-2025</t>
        </is>
      </c>
      <c r="B232" s="1" t="n">
        <v>45812.35736111111</v>
      </c>
      <c r="C232" s="1" t="n">
        <v>46089</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27215-2025</t>
        </is>
      </c>
      <c r="B233" s="1" t="n">
        <v>45812.41869212963</v>
      </c>
      <c r="C233" s="1" t="n">
        <v>46089</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27225-2025</t>
        </is>
      </c>
      <c r="B234" s="1" t="n">
        <v>45812.42856481481</v>
      </c>
      <c r="C234" s="1" t="n">
        <v>46089</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55692-2023</t>
        </is>
      </c>
      <c r="B235" s="1" t="n">
        <v>45239</v>
      </c>
      <c r="C235" s="1" t="n">
        <v>46089</v>
      </c>
      <c r="D235" t="inlineStr">
        <is>
          <t>ÖREBRO LÄN</t>
        </is>
      </c>
      <c r="E235" t="inlineStr">
        <is>
          <t>ÖREBRO</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27220-2025</t>
        </is>
      </c>
      <c r="B236" s="1" t="n">
        <v>45812.42293981482</v>
      </c>
      <c r="C236" s="1" t="n">
        <v>46089</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15866-2022</t>
        </is>
      </c>
      <c r="B237" s="1" t="n">
        <v>44664</v>
      </c>
      <c r="C237" s="1" t="n">
        <v>46089</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28120-2025</t>
        </is>
      </c>
      <c r="B238" s="1" t="n">
        <v>45818.30459490741</v>
      </c>
      <c r="C238" s="1" t="n">
        <v>46089</v>
      </c>
      <c r="D238" t="inlineStr">
        <is>
          <t>ÖREBRO LÄN</t>
        </is>
      </c>
      <c r="E238" t="inlineStr">
        <is>
          <t>ÖREBRO</t>
        </is>
      </c>
      <c r="G238" t="n">
        <v>1.5</v>
      </c>
      <c r="H238" t="n">
        <v>0</v>
      </c>
      <c r="I238" t="n">
        <v>0</v>
      </c>
      <c r="J238" t="n">
        <v>0</v>
      </c>
      <c r="K238" t="n">
        <v>0</v>
      </c>
      <c r="L238" t="n">
        <v>0</v>
      </c>
      <c r="M238" t="n">
        <v>0</v>
      </c>
      <c r="N238" t="n">
        <v>0</v>
      </c>
      <c r="O238" t="n">
        <v>0</v>
      </c>
      <c r="P238" t="n">
        <v>0</v>
      </c>
      <c r="Q238" t="n">
        <v>0</v>
      </c>
      <c r="R238" s="2" t="inlineStr"/>
    </row>
    <row r="239" ht="15" customHeight="1">
      <c r="A239" t="inlineStr">
        <is>
          <t>A 28054-2022</t>
        </is>
      </c>
      <c r="B239" s="1" t="n">
        <v>44746.41938657407</v>
      </c>
      <c r="C239" s="1" t="n">
        <v>46089</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541-2025</t>
        </is>
      </c>
      <c r="B240" s="1" t="n">
        <v>45664.52034722222</v>
      </c>
      <c r="C240" s="1" t="n">
        <v>46089</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53143-2023</t>
        </is>
      </c>
      <c r="B241" s="1" t="n">
        <v>45229</v>
      </c>
      <c r="C241" s="1" t="n">
        <v>46089</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25407-2021</t>
        </is>
      </c>
      <c r="B242" s="1" t="n">
        <v>44342</v>
      </c>
      <c r="C242" s="1" t="n">
        <v>46089</v>
      </c>
      <c r="D242" t="inlineStr">
        <is>
          <t>ÖREBRO LÄN</t>
        </is>
      </c>
      <c r="E242" t="inlineStr">
        <is>
          <t>ÖREBRO</t>
        </is>
      </c>
      <c r="F242" t="inlineStr">
        <is>
          <t>Kommuner</t>
        </is>
      </c>
      <c r="G242" t="n">
        <v>7.2</v>
      </c>
      <c r="H242" t="n">
        <v>0</v>
      </c>
      <c r="I242" t="n">
        <v>0</v>
      </c>
      <c r="J242" t="n">
        <v>0</v>
      </c>
      <c r="K242" t="n">
        <v>0</v>
      </c>
      <c r="L242" t="n">
        <v>0</v>
      </c>
      <c r="M242" t="n">
        <v>0</v>
      </c>
      <c r="N242" t="n">
        <v>0</v>
      </c>
      <c r="O242" t="n">
        <v>0</v>
      </c>
      <c r="P242" t="n">
        <v>0</v>
      </c>
      <c r="Q242" t="n">
        <v>0</v>
      </c>
      <c r="R242" s="2" t="inlineStr"/>
    </row>
    <row r="243" ht="15" customHeight="1">
      <c r="A243" t="inlineStr">
        <is>
          <t>A 28938-2025</t>
        </is>
      </c>
      <c r="B243" s="1" t="n">
        <v>45820.70626157407</v>
      </c>
      <c r="C243" s="1" t="n">
        <v>46089</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28920-2025</t>
        </is>
      </c>
      <c r="B244" s="1" t="n">
        <v>45820.66532407407</v>
      </c>
      <c r="C244" s="1" t="n">
        <v>46089</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29339-2025</t>
        </is>
      </c>
      <c r="B245" s="1" t="n">
        <v>45824.5044212963</v>
      </c>
      <c r="C245" s="1" t="n">
        <v>46089</v>
      </c>
      <c r="D245" t="inlineStr">
        <is>
          <t>ÖREBRO LÄN</t>
        </is>
      </c>
      <c r="E245" t="inlineStr">
        <is>
          <t>ÖREBRO</t>
        </is>
      </c>
      <c r="G245" t="n">
        <v>4.3</v>
      </c>
      <c r="H245" t="n">
        <v>0</v>
      </c>
      <c r="I245" t="n">
        <v>0</v>
      </c>
      <c r="J245" t="n">
        <v>0</v>
      </c>
      <c r="K245" t="n">
        <v>0</v>
      </c>
      <c r="L245" t="n">
        <v>0</v>
      </c>
      <c r="M245" t="n">
        <v>0</v>
      </c>
      <c r="N245" t="n">
        <v>0</v>
      </c>
      <c r="O245" t="n">
        <v>0</v>
      </c>
      <c r="P245" t="n">
        <v>0</v>
      </c>
      <c r="Q245" t="n">
        <v>0</v>
      </c>
      <c r="R245" s="2" t="inlineStr"/>
    </row>
    <row r="246" ht="15" customHeight="1">
      <c r="A246" t="inlineStr">
        <is>
          <t>A 60059-2023</t>
        </is>
      </c>
      <c r="B246" s="1" t="n">
        <v>45258.38157407408</v>
      </c>
      <c r="C246" s="1" t="n">
        <v>46089</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26858-2024</t>
        </is>
      </c>
      <c r="B247" s="1" t="n">
        <v>45470</v>
      </c>
      <c r="C247" s="1" t="n">
        <v>46089</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45027-2024</t>
        </is>
      </c>
      <c r="B248" s="1" t="n">
        <v>45575</v>
      </c>
      <c r="C248" s="1" t="n">
        <v>46089</v>
      </c>
      <c r="D248" t="inlineStr">
        <is>
          <t>ÖREBRO LÄN</t>
        </is>
      </c>
      <c r="E248" t="inlineStr">
        <is>
          <t>ÖREBRO</t>
        </is>
      </c>
      <c r="G248" t="n">
        <v>6.3</v>
      </c>
      <c r="H248" t="n">
        <v>0</v>
      </c>
      <c r="I248" t="n">
        <v>0</v>
      </c>
      <c r="J248" t="n">
        <v>0</v>
      </c>
      <c r="K248" t="n">
        <v>0</v>
      </c>
      <c r="L248" t="n">
        <v>0</v>
      </c>
      <c r="M248" t="n">
        <v>0</v>
      </c>
      <c r="N248" t="n">
        <v>0</v>
      </c>
      <c r="O248" t="n">
        <v>0</v>
      </c>
      <c r="P248" t="n">
        <v>0</v>
      </c>
      <c r="Q248" t="n">
        <v>0</v>
      </c>
      <c r="R248" s="2" t="inlineStr"/>
    </row>
    <row r="249" ht="15" customHeight="1">
      <c r="A249" t="inlineStr">
        <is>
          <t>A 29701-2025</t>
        </is>
      </c>
      <c r="B249" s="1" t="n">
        <v>45825.55261574074</v>
      </c>
      <c r="C249" s="1" t="n">
        <v>46089</v>
      </c>
      <c r="D249" t="inlineStr">
        <is>
          <t>ÖREBRO LÄN</t>
        </is>
      </c>
      <c r="E249" t="inlineStr">
        <is>
          <t>ÖREBRO</t>
        </is>
      </c>
      <c r="G249" t="n">
        <v>5.8</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46089</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29286-2025</t>
        </is>
      </c>
      <c r="B251" s="1" t="n">
        <v>45824.43502314815</v>
      </c>
      <c r="C251" s="1" t="n">
        <v>46089</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52391-2024</t>
        </is>
      </c>
      <c r="B252" s="1" t="n">
        <v>45609.43180555556</v>
      </c>
      <c r="C252" s="1" t="n">
        <v>46089</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52401-2024</t>
        </is>
      </c>
      <c r="B253" s="1" t="n">
        <v>45609.44553240741</v>
      </c>
      <c r="C253" s="1" t="n">
        <v>46089</v>
      </c>
      <c r="D253" t="inlineStr">
        <is>
          <t>ÖREBRO LÄN</t>
        </is>
      </c>
      <c r="E253" t="inlineStr">
        <is>
          <t>ÖREBRO</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44960-2025</t>
        </is>
      </c>
      <c r="B254" s="1" t="n">
        <v>45918.61577546296</v>
      </c>
      <c r="C254" s="1" t="n">
        <v>46089</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26338-2021</t>
        </is>
      </c>
      <c r="B255" s="1" t="n">
        <v>44347</v>
      </c>
      <c r="C255" s="1" t="n">
        <v>46089</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8461-2026</t>
        </is>
      </c>
      <c r="B256" s="1" t="n">
        <v>46065.42981481482</v>
      </c>
      <c r="C256" s="1" t="n">
        <v>46089</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30550-2025</t>
        </is>
      </c>
      <c r="B257" s="1" t="n">
        <v>45831.38224537037</v>
      </c>
      <c r="C257" s="1" t="n">
        <v>46089</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53234-2023</t>
        </is>
      </c>
      <c r="B258" s="1" t="n">
        <v>45229</v>
      </c>
      <c r="C258" s="1" t="n">
        <v>46089</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44875-2025</t>
        </is>
      </c>
      <c r="B259" s="1" t="n">
        <v>45918.47043981482</v>
      </c>
      <c r="C259" s="1" t="n">
        <v>46089</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46089</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59757-2023</t>
        </is>
      </c>
      <c r="B261" s="1" t="n">
        <v>45257.40833333333</v>
      </c>
      <c r="C261" s="1" t="n">
        <v>46089</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11067-2025</t>
        </is>
      </c>
      <c r="B262" s="1" t="n">
        <v>45723</v>
      </c>
      <c r="C262" s="1" t="n">
        <v>46089</v>
      </c>
      <c r="D262" t="inlineStr">
        <is>
          <t>ÖREBRO LÄN</t>
        </is>
      </c>
      <c r="E262" t="inlineStr">
        <is>
          <t>ÖREBRO</t>
        </is>
      </c>
      <c r="G262" t="n">
        <v>3.1</v>
      </c>
      <c r="H262" t="n">
        <v>0</v>
      </c>
      <c r="I262" t="n">
        <v>0</v>
      </c>
      <c r="J262" t="n">
        <v>0</v>
      </c>
      <c r="K262" t="n">
        <v>0</v>
      </c>
      <c r="L262" t="n">
        <v>0</v>
      </c>
      <c r="M262" t="n">
        <v>0</v>
      </c>
      <c r="N262" t="n">
        <v>0</v>
      </c>
      <c r="O262" t="n">
        <v>0</v>
      </c>
      <c r="P262" t="n">
        <v>0</v>
      </c>
      <c r="Q262" t="n">
        <v>0</v>
      </c>
      <c r="R262" s="2" t="inlineStr"/>
    </row>
    <row r="263" ht="15" customHeight="1">
      <c r="A263" t="inlineStr">
        <is>
          <t>A 3659-2025</t>
        </is>
      </c>
      <c r="B263" s="1" t="n">
        <v>45681</v>
      </c>
      <c r="C263" s="1" t="n">
        <v>46089</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13347-2023</t>
        </is>
      </c>
      <c r="B264" s="1" t="n">
        <v>45004</v>
      </c>
      <c r="C264" s="1" t="n">
        <v>46089</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6752-2022</t>
        </is>
      </c>
      <c r="B265" s="1" t="n">
        <v>44602.48082175926</v>
      </c>
      <c r="C265" s="1" t="n">
        <v>46089</v>
      </c>
      <c r="D265" t="inlineStr">
        <is>
          <t>ÖREBRO LÄN</t>
        </is>
      </c>
      <c r="E265" t="inlineStr">
        <is>
          <t>ÖREBRO</t>
        </is>
      </c>
      <c r="G265" t="n">
        <v>3.1</v>
      </c>
      <c r="H265" t="n">
        <v>0</v>
      </c>
      <c r="I265" t="n">
        <v>0</v>
      </c>
      <c r="J265" t="n">
        <v>0</v>
      </c>
      <c r="K265" t="n">
        <v>0</v>
      </c>
      <c r="L265" t="n">
        <v>0</v>
      </c>
      <c r="M265" t="n">
        <v>0</v>
      </c>
      <c r="N265" t="n">
        <v>0</v>
      </c>
      <c r="O265" t="n">
        <v>0</v>
      </c>
      <c r="P265" t="n">
        <v>0</v>
      </c>
      <c r="Q265" t="n">
        <v>0</v>
      </c>
      <c r="R265" s="2" t="inlineStr"/>
    </row>
    <row r="266" ht="15" customHeight="1">
      <c r="A266" t="inlineStr">
        <is>
          <t>A 31232-2025</t>
        </is>
      </c>
      <c r="B266" s="1" t="n">
        <v>45832.8252199074</v>
      </c>
      <c r="C266" s="1" t="n">
        <v>46089</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30951-2025</t>
        </is>
      </c>
      <c r="B267" s="1" t="n">
        <v>45832.43225694444</v>
      </c>
      <c r="C267" s="1" t="n">
        <v>46089</v>
      </c>
      <c r="D267" t="inlineStr">
        <is>
          <t>ÖREBRO LÄN</t>
        </is>
      </c>
      <c r="E267" t="inlineStr">
        <is>
          <t>ÖREBRO</t>
        </is>
      </c>
      <c r="F267" t="inlineStr">
        <is>
          <t>Övriga Aktiebolag</t>
        </is>
      </c>
      <c r="G267" t="n">
        <v>2.3</v>
      </c>
      <c r="H267" t="n">
        <v>0</v>
      </c>
      <c r="I267" t="n">
        <v>0</v>
      </c>
      <c r="J267" t="n">
        <v>0</v>
      </c>
      <c r="K267" t="n">
        <v>0</v>
      </c>
      <c r="L267" t="n">
        <v>0</v>
      </c>
      <c r="M267" t="n">
        <v>0</v>
      </c>
      <c r="N267" t="n">
        <v>0</v>
      </c>
      <c r="O267" t="n">
        <v>0</v>
      </c>
      <c r="P267" t="n">
        <v>0</v>
      </c>
      <c r="Q267" t="n">
        <v>0</v>
      </c>
      <c r="R267" s="2" t="inlineStr"/>
    </row>
    <row r="268" ht="15" customHeight="1">
      <c r="A268" t="inlineStr">
        <is>
          <t>A 31233-2025</t>
        </is>
      </c>
      <c r="B268" s="1" t="n">
        <v>45832.83341435185</v>
      </c>
      <c r="C268" s="1" t="n">
        <v>46089</v>
      </c>
      <c r="D268" t="inlineStr">
        <is>
          <t>ÖREBRO LÄN</t>
        </is>
      </c>
      <c r="E268" t="inlineStr">
        <is>
          <t>ÖREBRO</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46089</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46089</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46089</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31066-2025</t>
        </is>
      </c>
      <c r="B272" s="1" t="n">
        <v>45832</v>
      </c>
      <c r="C272" s="1" t="n">
        <v>46089</v>
      </c>
      <c r="D272" t="inlineStr">
        <is>
          <t>ÖREBRO LÄN</t>
        </is>
      </c>
      <c r="E272" t="inlineStr">
        <is>
          <t>ÖREBRO</t>
        </is>
      </c>
      <c r="G272" t="n">
        <v>11.1</v>
      </c>
      <c r="H272" t="n">
        <v>0</v>
      </c>
      <c r="I272" t="n">
        <v>0</v>
      </c>
      <c r="J272" t="n">
        <v>0</v>
      </c>
      <c r="K272" t="n">
        <v>0</v>
      </c>
      <c r="L272" t="n">
        <v>0</v>
      </c>
      <c r="M272" t="n">
        <v>0</v>
      </c>
      <c r="N272" t="n">
        <v>0</v>
      </c>
      <c r="O272" t="n">
        <v>0</v>
      </c>
      <c r="P272" t="n">
        <v>0</v>
      </c>
      <c r="Q272" t="n">
        <v>0</v>
      </c>
      <c r="R272" s="2" t="inlineStr"/>
    </row>
    <row r="273" ht="15" customHeight="1">
      <c r="A273" t="inlineStr">
        <is>
          <t>A 14544-2023</t>
        </is>
      </c>
      <c r="B273" s="1" t="n">
        <v>45013</v>
      </c>
      <c r="C273" s="1" t="n">
        <v>46089</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71272-2021</t>
        </is>
      </c>
      <c r="B274" s="1" t="n">
        <v>44539.61571759259</v>
      </c>
      <c r="C274" s="1" t="n">
        <v>46089</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8677-2026</t>
        </is>
      </c>
      <c r="B275" s="1" t="n">
        <v>46066.40994212963</v>
      </c>
      <c r="C275" s="1" t="n">
        <v>46089</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8662-2026</t>
        </is>
      </c>
      <c r="B276" s="1" t="n">
        <v>46066.38112268518</v>
      </c>
      <c r="C276" s="1" t="n">
        <v>46089</v>
      </c>
      <c r="D276" t="inlineStr">
        <is>
          <t>ÖREBRO LÄN</t>
        </is>
      </c>
      <c r="E276" t="inlineStr">
        <is>
          <t>ÖREBRO</t>
        </is>
      </c>
      <c r="G276" t="n">
        <v>3.2</v>
      </c>
      <c r="H276" t="n">
        <v>0</v>
      </c>
      <c r="I276" t="n">
        <v>0</v>
      </c>
      <c r="J276" t="n">
        <v>0</v>
      </c>
      <c r="K276" t="n">
        <v>0</v>
      </c>
      <c r="L276" t="n">
        <v>0</v>
      </c>
      <c r="M276" t="n">
        <v>0</v>
      </c>
      <c r="N276" t="n">
        <v>0</v>
      </c>
      <c r="O276" t="n">
        <v>0</v>
      </c>
      <c r="P276" t="n">
        <v>0</v>
      </c>
      <c r="Q276" t="n">
        <v>0</v>
      </c>
      <c r="R276" s="2" t="inlineStr"/>
    </row>
    <row r="277" ht="15" customHeight="1">
      <c r="A277" t="inlineStr">
        <is>
          <t>A 3120-2022</t>
        </is>
      </c>
      <c r="B277" s="1" t="n">
        <v>44582</v>
      </c>
      <c r="C277" s="1" t="n">
        <v>46089</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32188-2025</t>
        </is>
      </c>
      <c r="B278" s="1" t="n">
        <v>45835.56965277778</v>
      </c>
      <c r="C278" s="1" t="n">
        <v>46089</v>
      </c>
      <c r="D278" t="inlineStr">
        <is>
          <t>ÖREBRO LÄN</t>
        </is>
      </c>
      <c r="E278" t="inlineStr">
        <is>
          <t>ÖREBRO</t>
        </is>
      </c>
      <c r="G278" t="n">
        <v>2.9</v>
      </c>
      <c r="H278" t="n">
        <v>0</v>
      </c>
      <c r="I278" t="n">
        <v>0</v>
      </c>
      <c r="J278" t="n">
        <v>0</v>
      </c>
      <c r="K278" t="n">
        <v>0</v>
      </c>
      <c r="L278" t="n">
        <v>0</v>
      </c>
      <c r="M278" t="n">
        <v>0</v>
      </c>
      <c r="N278" t="n">
        <v>0</v>
      </c>
      <c r="O278" t="n">
        <v>0</v>
      </c>
      <c r="P278" t="n">
        <v>0</v>
      </c>
      <c r="Q278" t="n">
        <v>0</v>
      </c>
      <c r="R278" s="2" t="inlineStr"/>
    </row>
    <row r="279" ht="15" customHeight="1">
      <c r="A279" t="inlineStr">
        <is>
          <t>A 32195-2025</t>
        </is>
      </c>
      <c r="B279" s="1" t="n">
        <v>45835.57407407407</v>
      </c>
      <c r="C279" s="1" t="n">
        <v>46089</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19388-2024</t>
        </is>
      </c>
      <c r="B280" s="1" t="n">
        <v>45429.37775462963</v>
      </c>
      <c r="C280" s="1" t="n">
        <v>46089</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32218-2025</t>
        </is>
      </c>
      <c r="B281" s="1" t="n">
        <v>45835.58880787037</v>
      </c>
      <c r="C281" s="1" t="n">
        <v>46089</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32904-2025</t>
        </is>
      </c>
      <c r="B282" s="1" t="n">
        <v>45839</v>
      </c>
      <c r="C282" s="1" t="n">
        <v>46089</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40597-2021</t>
        </is>
      </c>
      <c r="B283" s="1" t="n">
        <v>44420</v>
      </c>
      <c r="C283" s="1" t="n">
        <v>46089</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32426-2025</t>
        </is>
      </c>
      <c r="B284" s="1" t="n">
        <v>45838.36179398148</v>
      </c>
      <c r="C284" s="1" t="n">
        <v>46089</v>
      </c>
      <c r="D284" t="inlineStr">
        <is>
          <t>ÖREBRO LÄN</t>
        </is>
      </c>
      <c r="E284" t="inlineStr">
        <is>
          <t>ÖREBRO</t>
        </is>
      </c>
      <c r="G284" t="n">
        <v>1.1</v>
      </c>
      <c r="H284" t="n">
        <v>0</v>
      </c>
      <c r="I284" t="n">
        <v>0</v>
      </c>
      <c r="J284" t="n">
        <v>0</v>
      </c>
      <c r="K284" t="n">
        <v>0</v>
      </c>
      <c r="L284" t="n">
        <v>0</v>
      </c>
      <c r="M284" t="n">
        <v>0</v>
      </c>
      <c r="N284" t="n">
        <v>0</v>
      </c>
      <c r="O284" t="n">
        <v>0</v>
      </c>
      <c r="P284" t="n">
        <v>0</v>
      </c>
      <c r="Q284" t="n">
        <v>0</v>
      </c>
      <c r="R284" s="2" t="inlineStr"/>
    </row>
    <row r="285" ht="15" customHeight="1">
      <c r="A285" t="inlineStr">
        <is>
          <t>A 2318-2023</t>
        </is>
      </c>
      <c r="B285" s="1" t="n">
        <v>44942</v>
      </c>
      <c r="C285" s="1" t="n">
        <v>46089</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20121-2024</t>
        </is>
      </c>
      <c r="B286" s="1" t="n">
        <v>45434</v>
      </c>
      <c r="C286" s="1" t="n">
        <v>46089</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20150-2024</t>
        </is>
      </c>
      <c r="B287" s="1" t="n">
        <v>45434.57969907407</v>
      </c>
      <c r="C287" s="1" t="n">
        <v>46089</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33191-2025</t>
        </is>
      </c>
      <c r="B288" s="1" t="n">
        <v>45840.6003587963</v>
      </c>
      <c r="C288" s="1" t="n">
        <v>46089</v>
      </c>
      <c r="D288" t="inlineStr">
        <is>
          <t>ÖREBRO LÄN</t>
        </is>
      </c>
      <c r="E288" t="inlineStr">
        <is>
          <t>ÖREBRO</t>
        </is>
      </c>
      <c r="G288" t="n">
        <v>2.6</v>
      </c>
      <c r="H288" t="n">
        <v>0</v>
      </c>
      <c r="I288" t="n">
        <v>0</v>
      </c>
      <c r="J288" t="n">
        <v>0</v>
      </c>
      <c r="K288" t="n">
        <v>0</v>
      </c>
      <c r="L288" t="n">
        <v>0</v>
      </c>
      <c r="M288" t="n">
        <v>0</v>
      </c>
      <c r="N288" t="n">
        <v>0</v>
      </c>
      <c r="O288" t="n">
        <v>0</v>
      </c>
      <c r="P288" t="n">
        <v>0</v>
      </c>
      <c r="Q288" t="n">
        <v>0</v>
      </c>
      <c r="R288" s="2" t="inlineStr"/>
    </row>
    <row r="289" ht="15" customHeight="1">
      <c r="A289" t="inlineStr">
        <is>
          <t>A 767-2024</t>
        </is>
      </c>
      <c r="B289" s="1" t="n">
        <v>45300.51892361111</v>
      </c>
      <c r="C289" s="1" t="n">
        <v>46089</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52441-2024</t>
        </is>
      </c>
      <c r="B290" s="1" t="n">
        <v>45609.48451388889</v>
      </c>
      <c r="C290" s="1" t="n">
        <v>46089</v>
      </c>
      <c r="D290" t="inlineStr">
        <is>
          <t>ÖREBRO LÄN</t>
        </is>
      </c>
      <c r="E290" t="inlineStr">
        <is>
          <t>ÖREBRO</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58611-2024</t>
        </is>
      </c>
      <c r="B291" s="1" t="n">
        <v>45635.55555555555</v>
      </c>
      <c r="C291" s="1" t="n">
        <v>46089</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38075-2022</t>
        </is>
      </c>
      <c r="B292" s="1" t="n">
        <v>44811</v>
      </c>
      <c r="C292" s="1" t="n">
        <v>46089</v>
      </c>
      <c r="D292" t="inlineStr">
        <is>
          <t>ÖREBRO LÄN</t>
        </is>
      </c>
      <c r="E292" t="inlineStr">
        <is>
          <t>ÖREBRO</t>
        </is>
      </c>
      <c r="G292" t="n">
        <v>0.2</v>
      </c>
      <c r="H292" t="n">
        <v>0</v>
      </c>
      <c r="I292" t="n">
        <v>0</v>
      </c>
      <c r="J292" t="n">
        <v>0</v>
      </c>
      <c r="K292" t="n">
        <v>0</v>
      </c>
      <c r="L292" t="n">
        <v>0</v>
      </c>
      <c r="M292" t="n">
        <v>0</v>
      </c>
      <c r="N292" t="n">
        <v>0</v>
      </c>
      <c r="O292" t="n">
        <v>0</v>
      </c>
      <c r="P292" t="n">
        <v>0</v>
      </c>
      <c r="Q292" t="n">
        <v>0</v>
      </c>
      <c r="R292" s="2" t="inlineStr"/>
    </row>
    <row r="293" ht="15" customHeight="1">
      <c r="A293" t="inlineStr">
        <is>
          <t>A 19831-2021</t>
        </is>
      </c>
      <c r="B293" s="1" t="n">
        <v>44313</v>
      </c>
      <c r="C293" s="1" t="n">
        <v>46089</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5133-2024</t>
        </is>
      </c>
      <c r="B294" s="1" t="n">
        <v>45330</v>
      </c>
      <c r="C294" s="1" t="n">
        <v>46089</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58219-2024</t>
        </is>
      </c>
      <c r="B295" s="1" t="n">
        <v>45632</v>
      </c>
      <c r="C295" s="1" t="n">
        <v>46089</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52477-2024</t>
        </is>
      </c>
      <c r="B296" s="1" t="n">
        <v>45609</v>
      </c>
      <c r="C296" s="1" t="n">
        <v>46089</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48687-2024</t>
        </is>
      </c>
      <c r="B297" s="1" t="n">
        <v>45593.49899305555</v>
      </c>
      <c r="C297" s="1" t="n">
        <v>46089</v>
      </c>
      <c r="D297" t="inlineStr">
        <is>
          <t>ÖREBRO LÄN</t>
        </is>
      </c>
      <c r="E297" t="inlineStr">
        <is>
          <t>ÖREBRO</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4284-2025</t>
        </is>
      </c>
      <c r="B298" s="1" t="n">
        <v>45685</v>
      </c>
      <c r="C298" s="1" t="n">
        <v>46089</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2771-2023</t>
        </is>
      </c>
      <c r="B299" s="1" t="n">
        <v>44944.64704861111</v>
      </c>
      <c r="C299" s="1" t="n">
        <v>46089</v>
      </c>
      <c r="D299" t="inlineStr">
        <is>
          <t>ÖREBRO LÄN</t>
        </is>
      </c>
      <c r="E299" t="inlineStr">
        <is>
          <t>ÖREBRO</t>
        </is>
      </c>
      <c r="G299" t="n">
        <v>15.4</v>
      </c>
      <c r="H299" t="n">
        <v>0</v>
      </c>
      <c r="I299" t="n">
        <v>0</v>
      </c>
      <c r="J299" t="n">
        <v>0</v>
      </c>
      <c r="K299" t="n">
        <v>0</v>
      </c>
      <c r="L299" t="n">
        <v>0</v>
      </c>
      <c r="M299" t="n">
        <v>0</v>
      </c>
      <c r="N299" t="n">
        <v>0</v>
      </c>
      <c r="O299" t="n">
        <v>0</v>
      </c>
      <c r="P299" t="n">
        <v>0</v>
      </c>
      <c r="Q299" t="n">
        <v>0</v>
      </c>
      <c r="R299" s="2" t="inlineStr"/>
    </row>
    <row r="300" ht="15" customHeight="1">
      <c r="A300" t="inlineStr">
        <is>
          <t>A 11663-2024</t>
        </is>
      </c>
      <c r="B300" s="1" t="n">
        <v>45373</v>
      </c>
      <c r="C300" s="1" t="n">
        <v>46089</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2076-2025</t>
        </is>
      </c>
      <c r="B301" s="1" t="n">
        <v>45672</v>
      </c>
      <c r="C301" s="1" t="n">
        <v>46089</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48454-2025</t>
        </is>
      </c>
      <c r="B302" s="1" t="n">
        <v>45935.80164351852</v>
      </c>
      <c r="C302" s="1" t="n">
        <v>46089</v>
      </c>
      <c r="D302" t="inlineStr">
        <is>
          <t>ÖREBRO LÄN</t>
        </is>
      </c>
      <c r="E302" t="inlineStr">
        <is>
          <t>ÖREBRO</t>
        </is>
      </c>
      <c r="F302" t="inlineStr">
        <is>
          <t>Övriga Aktiebolag</t>
        </is>
      </c>
      <c r="G302" t="n">
        <v>18.1</v>
      </c>
      <c r="H302" t="n">
        <v>0</v>
      </c>
      <c r="I302" t="n">
        <v>0</v>
      </c>
      <c r="J302" t="n">
        <v>0</v>
      </c>
      <c r="K302" t="n">
        <v>0</v>
      </c>
      <c r="L302" t="n">
        <v>0</v>
      </c>
      <c r="M302" t="n">
        <v>0</v>
      </c>
      <c r="N302" t="n">
        <v>0</v>
      </c>
      <c r="O302" t="n">
        <v>0</v>
      </c>
      <c r="P302" t="n">
        <v>0</v>
      </c>
      <c r="Q302" t="n">
        <v>0</v>
      </c>
      <c r="R302" s="2" t="inlineStr"/>
    </row>
    <row r="303" ht="15" customHeight="1">
      <c r="A303" t="inlineStr">
        <is>
          <t>A 58216-2024</t>
        </is>
      </c>
      <c r="B303" s="1" t="n">
        <v>45632</v>
      </c>
      <c r="C303" s="1" t="n">
        <v>46089</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3763-2025</t>
        </is>
      </c>
      <c r="B304" s="1" t="n">
        <v>45681</v>
      </c>
      <c r="C304" s="1" t="n">
        <v>46089</v>
      </c>
      <c r="D304" t="inlineStr">
        <is>
          <t>ÖREBRO LÄN</t>
        </is>
      </c>
      <c r="E304" t="inlineStr">
        <is>
          <t>ÖREBRO</t>
        </is>
      </c>
      <c r="G304" t="n">
        <v>10.1</v>
      </c>
      <c r="H304" t="n">
        <v>0</v>
      </c>
      <c r="I304" t="n">
        <v>0</v>
      </c>
      <c r="J304" t="n">
        <v>0</v>
      </c>
      <c r="K304" t="n">
        <v>0</v>
      </c>
      <c r="L304" t="n">
        <v>0</v>
      </c>
      <c r="M304" t="n">
        <v>0</v>
      </c>
      <c r="N304" t="n">
        <v>0</v>
      </c>
      <c r="O304" t="n">
        <v>0</v>
      </c>
      <c r="P304" t="n">
        <v>0</v>
      </c>
      <c r="Q304" t="n">
        <v>0</v>
      </c>
      <c r="R304" s="2" t="inlineStr"/>
    </row>
    <row r="305" ht="15" customHeight="1">
      <c r="A305" t="inlineStr">
        <is>
          <t>A 35062-2025</t>
        </is>
      </c>
      <c r="B305" s="1" t="n">
        <v>45852</v>
      </c>
      <c r="C305" s="1" t="n">
        <v>46089</v>
      </c>
      <c r="D305" t="inlineStr">
        <is>
          <t>ÖREBRO LÄN</t>
        </is>
      </c>
      <c r="E305" t="inlineStr">
        <is>
          <t>ÖREBRO</t>
        </is>
      </c>
      <c r="G305" t="n">
        <v>2.8</v>
      </c>
      <c r="H305" t="n">
        <v>0</v>
      </c>
      <c r="I305" t="n">
        <v>0</v>
      </c>
      <c r="J305" t="n">
        <v>0</v>
      </c>
      <c r="K305" t="n">
        <v>0</v>
      </c>
      <c r="L305" t="n">
        <v>0</v>
      </c>
      <c r="M305" t="n">
        <v>0</v>
      </c>
      <c r="N305" t="n">
        <v>0</v>
      </c>
      <c r="O305" t="n">
        <v>0</v>
      </c>
      <c r="P305" t="n">
        <v>0</v>
      </c>
      <c r="Q305" t="n">
        <v>0</v>
      </c>
      <c r="R305" s="2" t="inlineStr"/>
    </row>
    <row r="306" ht="15" customHeight="1">
      <c r="A306" t="inlineStr">
        <is>
          <t>A 5324-2024</t>
        </is>
      </c>
      <c r="B306" s="1" t="n">
        <v>45331</v>
      </c>
      <c r="C306" s="1" t="n">
        <v>46089</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28821-2025</t>
        </is>
      </c>
      <c r="B307" s="1" t="n">
        <v>45820</v>
      </c>
      <c r="C307" s="1" t="n">
        <v>46089</v>
      </c>
      <c r="D307" t="inlineStr">
        <is>
          <t>ÖREBRO LÄN</t>
        </is>
      </c>
      <c r="E307" t="inlineStr">
        <is>
          <t>ÖREBRO</t>
        </is>
      </c>
      <c r="G307" t="n">
        <v>12.6</v>
      </c>
      <c r="H307" t="n">
        <v>0</v>
      </c>
      <c r="I307" t="n">
        <v>0</v>
      </c>
      <c r="J307" t="n">
        <v>0</v>
      </c>
      <c r="K307" t="n">
        <v>0</v>
      </c>
      <c r="L307" t="n">
        <v>0</v>
      </c>
      <c r="M307" t="n">
        <v>0</v>
      </c>
      <c r="N307" t="n">
        <v>0</v>
      </c>
      <c r="O307" t="n">
        <v>0</v>
      </c>
      <c r="P307" t="n">
        <v>0</v>
      </c>
      <c r="Q307" t="n">
        <v>0</v>
      </c>
      <c r="R307" s="2" t="inlineStr"/>
    </row>
    <row r="308" ht="15" customHeight="1">
      <c r="A308" t="inlineStr">
        <is>
          <t>A 18360-2024</t>
        </is>
      </c>
      <c r="B308" s="1" t="n">
        <v>45422</v>
      </c>
      <c r="C308" s="1" t="n">
        <v>46089</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16676-2025</t>
        </is>
      </c>
      <c r="B309" s="1" t="n">
        <v>45754.44658564815</v>
      </c>
      <c r="C309" s="1" t="n">
        <v>46089</v>
      </c>
      <c r="D309" t="inlineStr">
        <is>
          <t>ÖREBRO LÄN</t>
        </is>
      </c>
      <c r="E309" t="inlineStr">
        <is>
          <t>ÖREBRO</t>
        </is>
      </c>
      <c r="G309" t="n">
        <v>5.8</v>
      </c>
      <c r="H309" t="n">
        <v>0</v>
      </c>
      <c r="I309" t="n">
        <v>0</v>
      </c>
      <c r="J309" t="n">
        <v>0</v>
      </c>
      <c r="K309" t="n">
        <v>0</v>
      </c>
      <c r="L309" t="n">
        <v>0</v>
      </c>
      <c r="M309" t="n">
        <v>0</v>
      </c>
      <c r="N309" t="n">
        <v>0</v>
      </c>
      <c r="O309" t="n">
        <v>0</v>
      </c>
      <c r="P309" t="n">
        <v>0</v>
      </c>
      <c r="Q309" t="n">
        <v>0</v>
      </c>
      <c r="R309" s="2" t="inlineStr"/>
    </row>
    <row r="310" ht="15" customHeight="1">
      <c r="A310" t="inlineStr">
        <is>
          <t>A 35637-2025</t>
        </is>
      </c>
      <c r="B310" s="1" t="n">
        <v>45859.46859953704</v>
      </c>
      <c r="C310" s="1" t="n">
        <v>46089</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5357-2024</t>
        </is>
      </c>
      <c r="B311" s="1" t="n">
        <v>45331</v>
      </c>
      <c r="C311" s="1" t="n">
        <v>46089</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57243-2022</t>
        </is>
      </c>
      <c r="B312" s="1" t="n">
        <v>44895.71835648148</v>
      </c>
      <c r="C312" s="1" t="n">
        <v>46089</v>
      </c>
      <c r="D312" t="inlineStr">
        <is>
          <t>ÖREBRO LÄN</t>
        </is>
      </c>
      <c r="E312" t="inlineStr">
        <is>
          <t>ÖREBRO</t>
        </is>
      </c>
      <c r="G312" t="n">
        <v>6</v>
      </c>
      <c r="H312" t="n">
        <v>0</v>
      </c>
      <c r="I312" t="n">
        <v>0</v>
      </c>
      <c r="J312" t="n">
        <v>0</v>
      </c>
      <c r="K312" t="n">
        <v>0</v>
      </c>
      <c r="L312" t="n">
        <v>0</v>
      </c>
      <c r="M312" t="n">
        <v>0</v>
      </c>
      <c r="N312" t="n">
        <v>0</v>
      </c>
      <c r="O312" t="n">
        <v>0</v>
      </c>
      <c r="P312" t="n">
        <v>0</v>
      </c>
      <c r="Q312" t="n">
        <v>0</v>
      </c>
      <c r="R312" s="2" t="inlineStr"/>
    </row>
    <row r="313" ht="15" customHeight="1">
      <c r="A313" t="inlineStr">
        <is>
          <t>A 35928-2025</t>
        </is>
      </c>
      <c r="B313" s="1" t="n">
        <v>45862</v>
      </c>
      <c r="C313" s="1" t="n">
        <v>46089</v>
      </c>
      <c r="D313" t="inlineStr">
        <is>
          <t>ÖREBRO LÄN</t>
        </is>
      </c>
      <c r="E313" t="inlineStr">
        <is>
          <t>ÖREBRO</t>
        </is>
      </c>
      <c r="G313" t="n">
        <v>4.4</v>
      </c>
      <c r="H313" t="n">
        <v>0</v>
      </c>
      <c r="I313" t="n">
        <v>0</v>
      </c>
      <c r="J313" t="n">
        <v>0</v>
      </c>
      <c r="K313" t="n">
        <v>0</v>
      </c>
      <c r="L313" t="n">
        <v>0</v>
      </c>
      <c r="M313" t="n">
        <v>0</v>
      </c>
      <c r="N313" t="n">
        <v>0</v>
      </c>
      <c r="O313" t="n">
        <v>0</v>
      </c>
      <c r="P313" t="n">
        <v>0</v>
      </c>
      <c r="Q313" t="n">
        <v>0</v>
      </c>
      <c r="R313" s="2" t="inlineStr"/>
    </row>
    <row r="314" ht="15" customHeight="1">
      <c r="A314" t="inlineStr">
        <is>
          <t>A 40051-2024</t>
        </is>
      </c>
      <c r="B314" s="1" t="n">
        <v>45553</v>
      </c>
      <c r="C314" s="1" t="n">
        <v>46089</v>
      </c>
      <c r="D314" t="inlineStr">
        <is>
          <t>ÖREBRO LÄN</t>
        </is>
      </c>
      <c r="E314" t="inlineStr">
        <is>
          <t>ÖREBRO</t>
        </is>
      </c>
      <c r="G314" t="n">
        <v>3.5</v>
      </c>
      <c r="H314" t="n">
        <v>0</v>
      </c>
      <c r="I314" t="n">
        <v>0</v>
      </c>
      <c r="J314" t="n">
        <v>0</v>
      </c>
      <c r="K314" t="n">
        <v>0</v>
      </c>
      <c r="L314" t="n">
        <v>0</v>
      </c>
      <c r="M314" t="n">
        <v>0</v>
      </c>
      <c r="N314" t="n">
        <v>0</v>
      </c>
      <c r="O314" t="n">
        <v>0</v>
      </c>
      <c r="P314" t="n">
        <v>0</v>
      </c>
      <c r="Q314" t="n">
        <v>0</v>
      </c>
      <c r="R314" s="2" t="inlineStr"/>
    </row>
    <row r="315" ht="15" customHeight="1">
      <c r="A315" t="inlineStr">
        <is>
          <t>A 50446-2023</t>
        </is>
      </c>
      <c r="B315" s="1" t="n">
        <v>45216</v>
      </c>
      <c r="C315" s="1" t="n">
        <v>46089</v>
      </c>
      <c r="D315" t="inlineStr">
        <is>
          <t>ÖREBRO LÄN</t>
        </is>
      </c>
      <c r="E315" t="inlineStr">
        <is>
          <t>ÖREBRO</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50450-2023</t>
        </is>
      </c>
      <c r="B316" s="1" t="n">
        <v>45216.73533564815</v>
      </c>
      <c r="C316" s="1" t="n">
        <v>46089</v>
      </c>
      <c r="D316" t="inlineStr">
        <is>
          <t>ÖREBRO LÄN</t>
        </is>
      </c>
      <c r="E316" t="inlineStr">
        <is>
          <t>ÖREBRO</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32025-2024</t>
        </is>
      </c>
      <c r="B317" s="1" t="n">
        <v>45510.65754629629</v>
      </c>
      <c r="C317" s="1" t="n">
        <v>46089</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26117-2021</t>
        </is>
      </c>
      <c r="B318" s="1" t="n">
        <v>44345</v>
      </c>
      <c r="C318" s="1" t="n">
        <v>46089</v>
      </c>
      <c r="D318" t="inlineStr">
        <is>
          <t>ÖREBRO LÄN</t>
        </is>
      </c>
      <c r="E318" t="inlineStr">
        <is>
          <t>ÖREBRO</t>
        </is>
      </c>
      <c r="G318" t="n">
        <v>8.1</v>
      </c>
      <c r="H318" t="n">
        <v>0</v>
      </c>
      <c r="I318" t="n">
        <v>0</v>
      </c>
      <c r="J318" t="n">
        <v>0</v>
      </c>
      <c r="K318" t="n">
        <v>0</v>
      </c>
      <c r="L318" t="n">
        <v>0</v>
      </c>
      <c r="M318" t="n">
        <v>0</v>
      </c>
      <c r="N318" t="n">
        <v>0</v>
      </c>
      <c r="O318" t="n">
        <v>0</v>
      </c>
      <c r="P318" t="n">
        <v>0</v>
      </c>
      <c r="Q318" t="n">
        <v>0</v>
      </c>
      <c r="R318" s="2" t="inlineStr"/>
    </row>
    <row r="319" ht="15" customHeight="1">
      <c r="A319" t="inlineStr">
        <is>
          <t>A 50311-2025</t>
        </is>
      </c>
      <c r="B319" s="1" t="n">
        <v>45944</v>
      </c>
      <c r="C319" s="1" t="n">
        <v>46089</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55453-2024</t>
        </is>
      </c>
      <c r="B320" s="1" t="n">
        <v>45622.42097222222</v>
      </c>
      <c r="C320" s="1" t="n">
        <v>46089</v>
      </c>
      <c r="D320" t="inlineStr">
        <is>
          <t>ÖREBRO LÄN</t>
        </is>
      </c>
      <c r="E320" t="inlineStr">
        <is>
          <t>ÖREBRO</t>
        </is>
      </c>
      <c r="G320" t="n">
        <v>8.5</v>
      </c>
      <c r="H320" t="n">
        <v>0</v>
      </c>
      <c r="I320" t="n">
        <v>0</v>
      </c>
      <c r="J320" t="n">
        <v>0</v>
      </c>
      <c r="K320" t="n">
        <v>0</v>
      </c>
      <c r="L320" t="n">
        <v>0</v>
      </c>
      <c r="M320" t="n">
        <v>0</v>
      </c>
      <c r="N320" t="n">
        <v>0</v>
      </c>
      <c r="O320" t="n">
        <v>0</v>
      </c>
      <c r="P320" t="n">
        <v>0</v>
      </c>
      <c r="Q320" t="n">
        <v>0</v>
      </c>
      <c r="R320" s="2" t="inlineStr"/>
    </row>
    <row r="321" ht="15" customHeight="1">
      <c r="A321" t="inlineStr">
        <is>
          <t>A 36448-2025</t>
        </is>
      </c>
      <c r="B321" s="1" t="n">
        <v>45869.41929398148</v>
      </c>
      <c r="C321" s="1" t="n">
        <v>46089</v>
      </c>
      <c r="D321" t="inlineStr">
        <is>
          <t>ÖREBRO LÄN</t>
        </is>
      </c>
      <c r="E321" t="inlineStr">
        <is>
          <t>ÖREBRO</t>
        </is>
      </c>
      <c r="F321" t="inlineStr">
        <is>
          <t>Övriga Aktiebolag</t>
        </is>
      </c>
      <c r="G321" t="n">
        <v>4.3</v>
      </c>
      <c r="H321" t="n">
        <v>0</v>
      </c>
      <c r="I321" t="n">
        <v>0</v>
      </c>
      <c r="J321" t="n">
        <v>0</v>
      </c>
      <c r="K321" t="n">
        <v>0</v>
      </c>
      <c r="L321" t="n">
        <v>0</v>
      </c>
      <c r="M321" t="n">
        <v>0</v>
      </c>
      <c r="N321" t="n">
        <v>0</v>
      </c>
      <c r="O321" t="n">
        <v>0</v>
      </c>
      <c r="P321" t="n">
        <v>0</v>
      </c>
      <c r="Q321" t="n">
        <v>0</v>
      </c>
      <c r="R321" s="2" t="inlineStr"/>
    </row>
    <row r="322" ht="15" customHeight="1">
      <c r="A322" t="inlineStr">
        <is>
          <t>A 6879-2024</t>
        </is>
      </c>
      <c r="B322" s="1" t="n">
        <v>45342.85280092592</v>
      </c>
      <c r="C322" s="1" t="n">
        <v>46089</v>
      </c>
      <c r="D322" t="inlineStr">
        <is>
          <t>ÖREBRO LÄN</t>
        </is>
      </c>
      <c r="E322" t="inlineStr">
        <is>
          <t>ÖREBRO</t>
        </is>
      </c>
      <c r="G322" t="n">
        <v>1.6</v>
      </c>
      <c r="H322" t="n">
        <v>0</v>
      </c>
      <c r="I322" t="n">
        <v>0</v>
      </c>
      <c r="J322" t="n">
        <v>0</v>
      </c>
      <c r="K322" t="n">
        <v>0</v>
      </c>
      <c r="L322" t="n">
        <v>0</v>
      </c>
      <c r="M322" t="n">
        <v>0</v>
      </c>
      <c r="N322" t="n">
        <v>0</v>
      </c>
      <c r="O322" t="n">
        <v>0</v>
      </c>
      <c r="P322" t="n">
        <v>0</v>
      </c>
      <c r="Q322" t="n">
        <v>0</v>
      </c>
      <c r="R322" s="2" t="inlineStr"/>
    </row>
    <row r="323" ht="15" customHeight="1">
      <c r="A323" t="inlineStr">
        <is>
          <t>A 58032-2023</t>
        </is>
      </c>
      <c r="B323" s="1" t="n">
        <v>45247</v>
      </c>
      <c r="C323" s="1" t="n">
        <v>46089</v>
      </c>
      <c r="D323" t="inlineStr">
        <is>
          <t>ÖREBRO LÄN</t>
        </is>
      </c>
      <c r="E323" t="inlineStr">
        <is>
          <t>ÖREBRO</t>
        </is>
      </c>
      <c r="G323" t="n">
        <v>1.1</v>
      </c>
      <c r="H323" t="n">
        <v>0</v>
      </c>
      <c r="I323" t="n">
        <v>0</v>
      </c>
      <c r="J323" t="n">
        <v>0</v>
      </c>
      <c r="K323" t="n">
        <v>0</v>
      </c>
      <c r="L323" t="n">
        <v>0</v>
      </c>
      <c r="M323" t="n">
        <v>0</v>
      </c>
      <c r="N323" t="n">
        <v>0</v>
      </c>
      <c r="O323" t="n">
        <v>0</v>
      </c>
      <c r="P323" t="n">
        <v>0</v>
      </c>
      <c r="Q323" t="n">
        <v>0</v>
      </c>
      <c r="R323" s="2" t="inlineStr"/>
    </row>
    <row r="324" ht="15" customHeight="1">
      <c r="A324" t="inlineStr">
        <is>
          <t>A 58035-2023</t>
        </is>
      </c>
      <c r="B324" s="1" t="n">
        <v>45247</v>
      </c>
      <c r="C324" s="1" t="n">
        <v>46089</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36447-2025</t>
        </is>
      </c>
      <c r="B325" s="1" t="n">
        <v>45869.41387731482</v>
      </c>
      <c r="C325" s="1" t="n">
        <v>46089</v>
      </c>
      <c r="D325" t="inlineStr">
        <is>
          <t>ÖREBRO LÄN</t>
        </is>
      </c>
      <c r="E325" t="inlineStr">
        <is>
          <t>ÖREBRO</t>
        </is>
      </c>
      <c r="F325" t="inlineStr">
        <is>
          <t>Övriga Aktiebolag</t>
        </is>
      </c>
      <c r="G325" t="n">
        <v>12.6</v>
      </c>
      <c r="H325" t="n">
        <v>0</v>
      </c>
      <c r="I325" t="n">
        <v>0</v>
      </c>
      <c r="J325" t="n">
        <v>0</v>
      </c>
      <c r="K325" t="n">
        <v>0</v>
      </c>
      <c r="L325" t="n">
        <v>0</v>
      </c>
      <c r="M325" t="n">
        <v>0</v>
      </c>
      <c r="N325" t="n">
        <v>0</v>
      </c>
      <c r="O325" t="n">
        <v>0</v>
      </c>
      <c r="P325" t="n">
        <v>0</v>
      </c>
      <c r="Q325" t="n">
        <v>0</v>
      </c>
      <c r="R325" s="2" t="inlineStr"/>
    </row>
    <row r="326" ht="15" customHeight="1">
      <c r="A326" t="inlineStr">
        <is>
          <t>A 7506-2025</t>
        </is>
      </c>
      <c r="B326" s="1" t="n">
        <v>45705</v>
      </c>
      <c r="C326" s="1" t="n">
        <v>46089</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51248-2025</t>
        </is>
      </c>
      <c r="B327" s="1" t="n">
        <v>45948.450625</v>
      </c>
      <c r="C327" s="1" t="n">
        <v>46089</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31240-2023</t>
        </is>
      </c>
      <c r="B328" s="1" t="n">
        <v>45114</v>
      </c>
      <c r="C328" s="1" t="n">
        <v>46089</v>
      </c>
      <c r="D328" t="inlineStr">
        <is>
          <t>ÖREBRO LÄN</t>
        </is>
      </c>
      <c r="E328" t="inlineStr">
        <is>
          <t>ÖREBRO</t>
        </is>
      </c>
      <c r="F328" t="inlineStr">
        <is>
          <t>Allmännings- och besparingsskogar</t>
        </is>
      </c>
      <c r="G328" t="n">
        <v>6.2</v>
      </c>
      <c r="H328" t="n">
        <v>0</v>
      </c>
      <c r="I328" t="n">
        <v>0</v>
      </c>
      <c r="J328" t="n">
        <v>0</v>
      </c>
      <c r="K328" t="n">
        <v>0</v>
      </c>
      <c r="L328" t="n">
        <v>0</v>
      </c>
      <c r="M328" t="n">
        <v>0</v>
      </c>
      <c r="N328" t="n">
        <v>0</v>
      </c>
      <c r="O328" t="n">
        <v>0</v>
      </c>
      <c r="P328" t="n">
        <v>0</v>
      </c>
      <c r="Q328" t="n">
        <v>0</v>
      </c>
      <c r="R328" s="2" t="inlineStr"/>
    </row>
    <row r="329" ht="15" customHeight="1">
      <c r="A329" t="inlineStr">
        <is>
          <t>A 51249-2025</t>
        </is>
      </c>
      <c r="B329" s="1" t="n">
        <v>45948.45704861111</v>
      </c>
      <c r="C329" s="1" t="n">
        <v>46089</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14717-2024</t>
        </is>
      </c>
      <c r="B330" s="1" t="n">
        <v>45397.55104166667</v>
      </c>
      <c r="C330" s="1" t="n">
        <v>46089</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37968-2024</t>
        </is>
      </c>
      <c r="B331" s="1" t="n">
        <v>45544</v>
      </c>
      <c r="C331" s="1" t="n">
        <v>46089</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29554-2025</t>
        </is>
      </c>
      <c r="B332" s="1" t="n">
        <v>45825</v>
      </c>
      <c r="C332" s="1" t="n">
        <v>46089</v>
      </c>
      <c r="D332" t="inlineStr">
        <is>
          <t>ÖREBRO LÄN</t>
        </is>
      </c>
      <c r="E332" t="inlineStr">
        <is>
          <t>ÖREBRO</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52135-2025</t>
        </is>
      </c>
      <c r="B333" s="1" t="n">
        <v>45952.84231481481</v>
      </c>
      <c r="C333" s="1" t="n">
        <v>46089</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51925-2025</t>
        </is>
      </c>
      <c r="B334" s="1" t="n">
        <v>45952.49476851852</v>
      </c>
      <c r="C334" s="1" t="n">
        <v>46089</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25443-2021</t>
        </is>
      </c>
      <c r="B335" s="1" t="n">
        <v>44342</v>
      </c>
      <c r="C335" s="1" t="n">
        <v>46089</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51923-2025</t>
        </is>
      </c>
      <c r="B336" s="1" t="n">
        <v>45952.49300925926</v>
      </c>
      <c r="C336" s="1" t="n">
        <v>46089</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51937-2025</t>
        </is>
      </c>
      <c r="B337" s="1" t="n">
        <v>45952.51270833334</v>
      </c>
      <c r="C337" s="1" t="n">
        <v>46089</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13700-2024</t>
        </is>
      </c>
      <c r="B338" s="1" t="n">
        <v>45390.59277777778</v>
      </c>
      <c r="C338" s="1" t="n">
        <v>46089</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30743-2025</t>
        </is>
      </c>
      <c r="B339" s="1" t="n">
        <v>45831</v>
      </c>
      <c r="C339" s="1" t="n">
        <v>46089</v>
      </c>
      <c r="D339" t="inlineStr">
        <is>
          <t>ÖREBRO LÄN</t>
        </is>
      </c>
      <c r="E339" t="inlineStr">
        <is>
          <t>ÖREBRO</t>
        </is>
      </c>
      <c r="G339" t="n">
        <v>2.9</v>
      </c>
      <c r="H339" t="n">
        <v>0</v>
      </c>
      <c r="I339" t="n">
        <v>0</v>
      </c>
      <c r="J339" t="n">
        <v>0</v>
      </c>
      <c r="K339" t="n">
        <v>0</v>
      </c>
      <c r="L339" t="n">
        <v>0</v>
      </c>
      <c r="M339" t="n">
        <v>0</v>
      </c>
      <c r="N339" t="n">
        <v>0</v>
      </c>
      <c r="O339" t="n">
        <v>0</v>
      </c>
      <c r="P339" t="n">
        <v>0</v>
      </c>
      <c r="Q339" t="n">
        <v>0</v>
      </c>
      <c r="R339" s="2" t="inlineStr"/>
    </row>
    <row r="340" ht="15" customHeight="1">
      <c r="A340" t="inlineStr">
        <is>
          <t>A 5398-2022</t>
        </is>
      </c>
      <c r="B340" s="1" t="n">
        <v>44595.3353587963</v>
      </c>
      <c r="C340" s="1" t="n">
        <v>46089</v>
      </c>
      <c r="D340" t="inlineStr">
        <is>
          <t>ÖREBRO LÄN</t>
        </is>
      </c>
      <c r="E340" t="inlineStr">
        <is>
          <t>ÖREBRO</t>
        </is>
      </c>
      <c r="G340" t="n">
        <v>2.1</v>
      </c>
      <c r="H340" t="n">
        <v>0</v>
      </c>
      <c r="I340" t="n">
        <v>0</v>
      </c>
      <c r="J340" t="n">
        <v>0</v>
      </c>
      <c r="K340" t="n">
        <v>0</v>
      </c>
      <c r="L340" t="n">
        <v>0</v>
      </c>
      <c r="M340" t="n">
        <v>0</v>
      </c>
      <c r="N340" t="n">
        <v>0</v>
      </c>
      <c r="O340" t="n">
        <v>0</v>
      </c>
      <c r="P340" t="n">
        <v>0</v>
      </c>
      <c r="Q340" t="n">
        <v>0</v>
      </c>
      <c r="R340" s="2" t="inlineStr"/>
    </row>
    <row r="341" ht="15" customHeight="1">
      <c r="A341" t="inlineStr">
        <is>
          <t>A 9318-2026</t>
        </is>
      </c>
      <c r="B341" s="1" t="n">
        <v>46070.62585648148</v>
      </c>
      <c r="C341" s="1" t="n">
        <v>46089</v>
      </c>
      <c r="D341" t="inlineStr">
        <is>
          <t>ÖREBRO LÄN</t>
        </is>
      </c>
      <c r="E341" t="inlineStr">
        <is>
          <t>ÖREBRO</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38415-2023</t>
        </is>
      </c>
      <c r="B342" s="1" t="n">
        <v>45162.35502314815</v>
      </c>
      <c r="C342" s="1" t="n">
        <v>46089</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52382-2025</t>
        </is>
      </c>
      <c r="B343" s="1" t="n">
        <v>45953.9559837963</v>
      </c>
      <c r="C343" s="1" t="n">
        <v>46089</v>
      </c>
      <c r="D343" t="inlineStr">
        <is>
          <t>ÖREBRO LÄN</t>
        </is>
      </c>
      <c r="E343" t="inlineStr">
        <is>
          <t>ÖREBRO</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38057-2025</t>
        </is>
      </c>
      <c r="B344" s="1" t="n">
        <v>45882.42570601852</v>
      </c>
      <c r="C344" s="1" t="n">
        <v>46089</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60128-2023</t>
        </is>
      </c>
      <c r="B345" s="1" t="n">
        <v>45258</v>
      </c>
      <c r="C345" s="1" t="n">
        <v>46089</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53443-2025</t>
        </is>
      </c>
      <c r="B346" s="1" t="n">
        <v>45959.6444675926</v>
      </c>
      <c r="C346" s="1" t="n">
        <v>46089</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18047-2023</t>
        </is>
      </c>
      <c r="B347" s="1" t="n">
        <v>45040</v>
      </c>
      <c r="C347" s="1" t="n">
        <v>46089</v>
      </c>
      <c r="D347" t="inlineStr">
        <is>
          <t>ÖREBRO LÄN</t>
        </is>
      </c>
      <c r="E347" t="inlineStr">
        <is>
          <t>ÖREBRO</t>
        </is>
      </c>
      <c r="G347" t="n">
        <v>3.9</v>
      </c>
      <c r="H347" t="n">
        <v>0</v>
      </c>
      <c r="I347" t="n">
        <v>0</v>
      </c>
      <c r="J347" t="n">
        <v>0</v>
      </c>
      <c r="K347" t="n">
        <v>0</v>
      </c>
      <c r="L347" t="n">
        <v>0</v>
      </c>
      <c r="M347" t="n">
        <v>0</v>
      </c>
      <c r="N347" t="n">
        <v>0</v>
      </c>
      <c r="O347" t="n">
        <v>0</v>
      </c>
      <c r="P347" t="n">
        <v>0</v>
      </c>
      <c r="Q347" t="n">
        <v>0</v>
      </c>
      <c r="R347" s="2" t="inlineStr"/>
    </row>
    <row r="348" ht="15" customHeight="1">
      <c r="A348" t="inlineStr">
        <is>
          <t>A 53437-2025</t>
        </is>
      </c>
      <c r="B348" s="1" t="n">
        <v>45959.63440972222</v>
      </c>
      <c r="C348" s="1" t="n">
        <v>46089</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53342-2025</t>
        </is>
      </c>
      <c r="B349" s="1" t="n">
        <v>45959.41769675926</v>
      </c>
      <c r="C349" s="1" t="n">
        <v>46089</v>
      </c>
      <c r="D349" t="inlineStr">
        <is>
          <t>ÖREBRO LÄN</t>
        </is>
      </c>
      <c r="E349" t="inlineStr">
        <is>
          <t>ÖREBRO</t>
        </is>
      </c>
      <c r="G349" t="n">
        <v>4.1</v>
      </c>
      <c r="H349" t="n">
        <v>0</v>
      </c>
      <c r="I349" t="n">
        <v>0</v>
      </c>
      <c r="J349" t="n">
        <v>0</v>
      </c>
      <c r="K349" t="n">
        <v>0</v>
      </c>
      <c r="L349" t="n">
        <v>0</v>
      </c>
      <c r="M349" t="n">
        <v>0</v>
      </c>
      <c r="N349" t="n">
        <v>0</v>
      </c>
      <c r="O349" t="n">
        <v>0</v>
      </c>
      <c r="P349" t="n">
        <v>0</v>
      </c>
      <c r="Q349" t="n">
        <v>0</v>
      </c>
      <c r="R349" s="2" t="inlineStr"/>
    </row>
    <row r="350" ht="15" customHeight="1">
      <c r="A350" t="inlineStr">
        <is>
          <t>A 53350-2025</t>
        </is>
      </c>
      <c r="B350" s="1" t="n">
        <v>45959.43827546296</v>
      </c>
      <c r="C350" s="1" t="n">
        <v>46089</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49797-2024</t>
        </is>
      </c>
      <c r="B351" s="1" t="n">
        <v>45597.37265046296</v>
      </c>
      <c r="C351" s="1" t="n">
        <v>46089</v>
      </c>
      <c r="D351" t="inlineStr">
        <is>
          <t>ÖREBRO LÄN</t>
        </is>
      </c>
      <c r="E351" t="inlineStr">
        <is>
          <t>ÖREBRO</t>
        </is>
      </c>
      <c r="G351" t="n">
        <v>11.6</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46089</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53715-2025</t>
        </is>
      </c>
      <c r="B353" s="1" t="n">
        <v>45960.61763888889</v>
      </c>
      <c r="C353" s="1" t="n">
        <v>46089</v>
      </c>
      <c r="D353" t="inlineStr">
        <is>
          <t>ÖREBRO LÄN</t>
        </is>
      </c>
      <c r="E353" t="inlineStr">
        <is>
          <t>ÖREBRO</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53719-2025</t>
        </is>
      </c>
      <c r="B354" s="1" t="n">
        <v>45960.62042824074</v>
      </c>
      <c r="C354" s="1" t="n">
        <v>46089</v>
      </c>
      <c r="D354" t="inlineStr">
        <is>
          <t>ÖREBRO LÄN</t>
        </is>
      </c>
      <c r="E354" t="inlineStr">
        <is>
          <t>ÖREBRO</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54205-2025</t>
        </is>
      </c>
      <c r="B355" s="1" t="n">
        <v>45964.58512731481</v>
      </c>
      <c r="C355" s="1" t="n">
        <v>46089</v>
      </c>
      <c r="D355" t="inlineStr">
        <is>
          <t>ÖREBRO LÄN</t>
        </is>
      </c>
      <c r="E355" t="inlineStr">
        <is>
          <t>ÖREBRO</t>
        </is>
      </c>
      <c r="G355" t="n">
        <v>24.3</v>
      </c>
      <c r="H355" t="n">
        <v>0</v>
      </c>
      <c r="I355" t="n">
        <v>0</v>
      </c>
      <c r="J355" t="n">
        <v>0</v>
      </c>
      <c r="K355" t="n">
        <v>0</v>
      </c>
      <c r="L355" t="n">
        <v>0</v>
      </c>
      <c r="M355" t="n">
        <v>0</v>
      </c>
      <c r="N355" t="n">
        <v>0</v>
      </c>
      <c r="O355" t="n">
        <v>0</v>
      </c>
      <c r="P355" t="n">
        <v>0</v>
      </c>
      <c r="Q355" t="n">
        <v>0</v>
      </c>
      <c r="R355" s="2" t="inlineStr"/>
    </row>
    <row r="356" ht="15" customHeight="1">
      <c r="A356" t="inlineStr">
        <is>
          <t>A 8022-2022</t>
        </is>
      </c>
      <c r="B356" s="1" t="n">
        <v>44609</v>
      </c>
      <c r="C356" s="1" t="n">
        <v>46089</v>
      </c>
      <c r="D356" t="inlineStr">
        <is>
          <t>ÖREBRO LÄN</t>
        </is>
      </c>
      <c r="E356" t="inlineStr">
        <is>
          <t>ÖREBRO</t>
        </is>
      </c>
      <c r="G356" t="n">
        <v>5.6</v>
      </c>
      <c r="H356" t="n">
        <v>0</v>
      </c>
      <c r="I356" t="n">
        <v>0</v>
      </c>
      <c r="J356" t="n">
        <v>0</v>
      </c>
      <c r="K356" t="n">
        <v>0</v>
      </c>
      <c r="L356" t="n">
        <v>0</v>
      </c>
      <c r="M356" t="n">
        <v>0</v>
      </c>
      <c r="N356" t="n">
        <v>0</v>
      </c>
      <c r="O356" t="n">
        <v>0</v>
      </c>
      <c r="P356" t="n">
        <v>0</v>
      </c>
      <c r="Q356" t="n">
        <v>0</v>
      </c>
      <c r="R356" s="2" t="inlineStr"/>
    </row>
    <row r="357" ht="15" customHeight="1">
      <c r="A357" t="inlineStr">
        <is>
          <t>A 54485-2025</t>
        </is>
      </c>
      <c r="B357" s="1" t="n">
        <v>45965.59295138889</v>
      </c>
      <c r="C357" s="1" t="n">
        <v>46089</v>
      </c>
      <c r="D357" t="inlineStr">
        <is>
          <t>ÖREBRO LÄN</t>
        </is>
      </c>
      <c r="E357" t="inlineStr">
        <is>
          <t>ÖREBRO</t>
        </is>
      </c>
      <c r="F357" t="inlineStr">
        <is>
          <t>Allmännings- och besparingsskogar</t>
        </is>
      </c>
      <c r="G357" t="n">
        <v>1.7</v>
      </c>
      <c r="H357" t="n">
        <v>0</v>
      </c>
      <c r="I357" t="n">
        <v>0</v>
      </c>
      <c r="J357" t="n">
        <v>0</v>
      </c>
      <c r="K357" t="n">
        <v>0</v>
      </c>
      <c r="L357" t="n">
        <v>0</v>
      </c>
      <c r="M357" t="n">
        <v>0</v>
      </c>
      <c r="N357" t="n">
        <v>0</v>
      </c>
      <c r="O357" t="n">
        <v>0</v>
      </c>
      <c r="P357" t="n">
        <v>0</v>
      </c>
      <c r="Q357" t="n">
        <v>0</v>
      </c>
      <c r="R357" s="2" t="inlineStr"/>
    </row>
    <row r="358" ht="15" customHeight="1">
      <c r="A358" t="inlineStr">
        <is>
          <t>A 29978-2024</t>
        </is>
      </c>
      <c r="B358" s="1" t="n">
        <v>45488.48340277778</v>
      </c>
      <c r="C358" s="1" t="n">
        <v>46089</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19978-2025</t>
        </is>
      </c>
      <c r="B359" s="1" t="n">
        <v>45771.7062037037</v>
      </c>
      <c r="C359" s="1" t="n">
        <v>46089</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7134-2025</t>
        </is>
      </c>
      <c r="B360" s="1" t="n">
        <v>45702</v>
      </c>
      <c r="C360" s="1" t="n">
        <v>46089</v>
      </c>
      <c r="D360" t="inlineStr">
        <is>
          <t>ÖREBRO LÄN</t>
        </is>
      </c>
      <c r="E360" t="inlineStr">
        <is>
          <t>ÖREBRO</t>
        </is>
      </c>
      <c r="F360" t="inlineStr">
        <is>
          <t>Övriga Aktiebolag</t>
        </is>
      </c>
      <c r="G360" t="n">
        <v>2.1</v>
      </c>
      <c r="H360" t="n">
        <v>0</v>
      </c>
      <c r="I360" t="n">
        <v>0</v>
      </c>
      <c r="J360" t="n">
        <v>0</v>
      </c>
      <c r="K360" t="n">
        <v>0</v>
      </c>
      <c r="L360" t="n">
        <v>0</v>
      </c>
      <c r="M360" t="n">
        <v>0</v>
      </c>
      <c r="N360" t="n">
        <v>0</v>
      </c>
      <c r="O360" t="n">
        <v>0</v>
      </c>
      <c r="P360" t="n">
        <v>0</v>
      </c>
      <c r="Q360" t="n">
        <v>0</v>
      </c>
      <c r="R360" s="2" t="inlineStr"/>
    </row>
    <row r="361" ht="15" customHeight="1">
      <c r="A361" t="inlineStr">
        <is>
          <t>A 1153-2026</t>
        </is>
      </c>
      <c r="B361" s="1" t="n">
        <v>46031.30899305556</v>
      </c>
      <c r="C361" s="1" t="n">
        <v>46089</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16374-2022</t>
        </is>
      </c>
      <c r="B362" s="1" t="n">
        <v>44671</v>
      </c>
      <c r="C362" s="1" t="n">
        <v>46089</v>
      </c>
      <c r="D362" t="inlineStr">
        <is>
          <t>ÖREBRO LÄN</t>
        </is>
      </c>
      <c r="E362" t="inlineStr">
        <is>
          <t>ÖREBRO</t>
        </is>
      </c>
      <c r="F362" t="inlineStr">
        <is>
          <t>Övriga Aktiebolag</t>
        </is>
      </c>
      <c r="G362" t="n">
        <v>30.3</v>
      </c>
      <c r="H362" t="n">
        <v>0</v>
      </c>
      <c r="I362" t="n">
        <v>0</v>
      </c>
      <c r="J362" t="n">
        <v>0</v>
      </c>
      <c r="K362" t="n">
        <v>0</v>
      </c>
      <c r="L362" t="n">
        <v>0</v>
      </c>
      <c r="M362" t="n">
        <v>0</v>
      </c>
      <c r="N362" t="n">
        <v>0</v>
      </c>
      <c r="O362" t="n">
        <v>0</v>
      </c>
      <c r="P362" t="n">
        <v>0</v>
      </c>
      <c r="Q362" t="n">
        <v>0</v>
      </c>
      <c r="R362" s="2" t="inlineStr"/>
    </row>
    <row r="363" ht="15" customHeight="1">
      <c r="A363" t="inlineStr">
        <is>
          <t>A 27956-2023</t>
        </is>
      </c>
      <c r="B363" s="1" t="n">
        <v>45098</v>
      </c>
      <c r="C363" s="1" t="n">
        <v>46089</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13321-2024</t>
        </is>
      </c>
      <c r="B364" s="1" t="n">
        <v>45386.83142361111</v>
      </c>
      <c r="C364" s="1" t="n">
        <v>46089</v>
      </c>
      <c r="D364" t="inlineStr">
        <is>
          <t>ÖREBRO LÄN</t>
        </is>
      </c>
      <c r="E364" t="inlineStr">
        <is>
          <t>ÖREBRO</t>
        </is>
      </c>
      <c r="G364" t="n">
        <v>13.1</v>
      </c>
      <c r="H364" t="n">
        <v>0</v>
      </c>
      <c r="I364" t="n">
        <v>0</v>
      </c>
      <c r="J364" t="n">
        <v>0</v>
      </c>
      <c r="K364" t="n">
        <v>0</v>
      </c>
      <c r="L364" t="n">
        <v>0</v>
      </c>
      <c r="M364" t="n">
        <v>0</v>
      </c>
      <c r="N364" t="n">
        <v>0</v>
      </c>
      <c r="O364" t="n">
        <v>0</v>
      </c>
      <c r="P364" t="n">
        <v>0</v>
      </c>
      <c r="Q364" t="n">
        <v>0</v>
      </c>
      <c r="R364" s="2" t="inlineStr"/>
    </row>
    <row r="365" ht="15" customHeight="1">
      <c r="A365" t="inlineStr">
        <is>
          <t>A 55748-2025</t>
        </is>
      </c>
      <c r="B365" s="1" t="n">
        <v>45972.57893518519</v>
      </c>
      <c r="C365" s="1" t="n">
        <v>46089</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55750-2025</t>
        </is>
      </c>
      <c r="B366" s="1" t="n">
        <v>45972.58171296296</v>
      </c>
      <c r="C366" s="1" t="n">
        <v>46089</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55888-2025</t>
        </is>
      </c>
      <c r="B367" s="1" t="n">
        <v>45973.37163194444</v>
      </c>
      <c r="C367" s="1" t="n">
        <v>46089</v>
      </c>
      <c r="D367" t="inlineStr">
        <is>
          <t>ÖREBRO LÄN</t>
        </is>
      </c>
      <c r="E367" t="inlineStr">
        <is>
          <t>ÖREBRO</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55879-2025</t>
        </is>
      </c>
      <c r="B368" s="1" t="n">
        <v>45973.36508101852</v>
      </c>
      <c r="C368" s="1" t="n">
        <v>46089</v>
      </c>
      <c r="D368" t="inlineStr">
        <is>
          <t>ÖREBRO LÄN</t>
        </is>
      </c>
      <c r="E368" t="inlineStr">
        <is>
          <t>ÖREBRO</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18550-2025</t>
        </is>
      </c>
      <c r="B369" s="1" t="n">
        <v>45763</v>
      </c>
      <c r="C369" s="1" t="n">
        <v>46089</v>
      </c>
      <c r="D369" t="inlineStr">
        <is>
          <t>ÖREBRO LÄN</t>
        </is>
      </c>
      <c r="E369" t="inlineStr">
        <is>
          <t>ÖREBRO</t>
        </is>
      </c>
      <c r="G369" t="n">
        <v>11.5</v>
      </c>
      <c r="H369" t="n">
        <v>0</v>
      </c>
      <c r="I369" t="n">
        <v>0</v>
      </c>
      <c r="J369" t="n">
        <v>0</v>
      </c>
      <c r="K369" t="n">
        <v>0</v>
      </c>
      <c r="L369" t="n">
        <v>0</v>
      </c>
      <c r="M369" t="n">
        <v>0</v>
      </c>
      <c r="N369" t="n">
        <v>0</v>
      </c>
      <c r="O369" t="n">
        <v>0</v>
      </c>
      <c r="P369" t="n">
        <v>0</v>
      </c>
      <c r="Q369" t="n">
        <v>0</v>
      </c>
      <c r="R369" s="2" t="inlineStr"/>
    </row>
    <row r="370" ht="15" customHeight="1">
      <c r="A370" t="inlineStr">
        <is>
          <t>A 15652-2025</t>
        </is>
      </c>
      <c r="B370" s="1" t="n">
        <v>45748</v>
      </c>
      <c r="C370" s="1" t="n">
        <v>46089</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16737-2023</t>
        </is>
      </c>
      <c r="B371" s="1" t="n">
        <v>45030.72472222222</v>
      </c>
      <c r="C371" s="1" t="n">
        <v>46089</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5762-2025</t>
        </is>
      </c>
      <c r="B372" s="1" t="n">
        <v>45694.57181712963</v>
      </c>
      <c r="C372" s="1" t="n">
        <v>46089</v>
      </c>
      <c r="D372" t="inlineStr">
        <is>
          <t>ÖREBRO LÄN</t>
        </is>
      </c>
      <c r="E372" t="inlineStr">
        <is>
          <t>ÖREBRO</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51180-2023</t>
        </is>
      </c>
      <c r="B373" s="1" t="n">
        <v>45219</v>
      </c>
      <c r="C373" s="1" t="n">
        <v>46089</v>
      </c>
      <c r="D373" t="inlineStr">
        <is>
          <t>ÖREBRO LÄN</t>
        </is>
      </c>
      <c r="E373" t="inlineStr">
        <is>
          <t>ÖREBRO</t>
        </is>
      </c>
      <c r="G373" t="n">
        <v>6.5</v>
      </c>
      <c r="H373" t="n">
        <v>0</v>
      </c>
      <c r="I373" t="n">
        <v>0</v>
      </c>
      <c r="J373" t="n">
        <v>0</v>
      </c>
      <c r="K373" t="n">
        <v>0</v>
      </c>
      <c r="L373" t="n">
        <v>0</v>
      </c>
      <c r="M373" t="n">
        <v>0</v>
      </c>
      <c r="N373" t="n">
        <v>0</v>
      </c>
      <c r="O373" t="n">
        <v>0</v>
      </c>
      <c r="P373" t="n">
        <v>0</v>
      </c>
      <c r="Q373" t="n">
        <v>0</v>
      </c>
      <c r="R373" s="2" t="inlineStr"/>
    </row>
    <row r="374" ht="15" customHeight="1">
      <c r="A374" t="inlineStr">
        <is>
          <t>A 58621-2024</t>
        </is>
      </c>
      <c r="B374" s="1" t="n">
        <v>45635.56321759259</v>
      </c>
      <c r="C374" s="1" t="n">
        <v>46089</v>
      </c>
      <c r="D374" t="inlineStr">
        <is>
          <t>ÖREBRO LÄN</t>
        </is>
      </c>
      <c r="E374" t="inlineStr">
        <is>
          <t>ÖREBRO</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5578-2024</t>
        </is>
      </c>
      <c r="B375" s="1" t="n">
        <v>45334.49104166667</v>
      </c>
      <c r="C375" s="1" t="n">
        <v>46089</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10108-2026</t>
        </is>
      </c>
      <c r="B376" s="1" t="n">
        <v>46074.64310185185</v>
      </c>
      <c r="C376" s="1" t="n">
        <v>46089</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32086-2023</t>
        </is>
      </c>
      <c r="B377" s="1" t="n">
        <v>45119.59789351852</v>
      </c>
      <c r="C377" s="1" t="n">
        <v>46089</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22079-2023</t>
        </is>
      </c>
      <c r="B378" s="1" t="n">
        <v>45069</v>
      </c>
      <c r="C378" s="1" t="n">
        <v>46089</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57537-2025</t>
        </is>
      </c>
      <c r="B379" s="1" t="n">
        <v>45980.6446875</v>
      </c>
      <c r="C379" s="1" t="n">
        <v>46089</v>
      </c>
      <c r="D379" t="inlineStr">
        <is>
          <t>ÖREBRO LÄN</t>
        </is>
      </c>
      <c r="E379" t="inlineStr">
        <is>
          <t>ÖREBRO</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2630-2023</t>
        </is>
      </c>
      <c r="B380" s="1" t="n">
        <v>44944.39105324074</v>
      </c>
      <c r="C380" s="1" t="n">
        <v>46089</v>
      </c>
      <c r="D380" t="inlineStr">
        <is>
          <t>ÖREBRO LÄN</t>
        </is>
      </c>
      <c r="E380" t="inlineStr">
        <is>
          <t>ÖREBRO</t>
        </is>
      </c>
      <c r="G380" t="n">
        <v>6.1</v>
      </c>
      <c r="H380" t="n">
        <v>0</v>
      </c>
      <c r="I380" t="n">
        <v>0</v>
      </c>
      <c r="J380" t="n">
        <v>0</v>
      </c>
      <c r="K380" t="n">
        <v>0</v>
      </c>
      <c r="L380" t="n">
        <v>0</v>
      </c>
      <c r="M380" t="n">
        <v>0</v>
      </c>
      <c r="N380" t="n">
        <v>0</v>
      </c>
      <c r="O380" t="n">
        <v>0</v>
      </c>
      <c r="P380" t="n">
        <v>0</v>
      </c>
      <c r="Q380" t="n">
        <v>0</v>
      </c>
      <c r="R380" s="2" t="inlineStr"/>
    </row>
    <row r="381" ht="15" customHeight="1">
      <c r="A381" t="inlineStr">
        <is>
          <t>A 5330-2024</t>
        </is>
      </c>
      <c r="B381" s="1" t="n">
        <v>45331.4187962963</v>
      </c>
      <c r="C381" s="1" t="n">
        <v>46089</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54925-2023</t>
        </is>
      </c>
      <c r="B382" s="1" t="n">
        <v>45229</v>
      </c>
      <c r="C382" s="1" t="n">
        <v>46089</v>
      </c>
      <c r="D382" t="inlineStr">
        <is>
          <t>ÖREBRO LÄN</t>
        </is>
      </c>
      <c r="E382" t="inlineStr">
        <is>
          <t>ÖREBRO</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10830-2023</t>
        </is>
      </c>
      <c r="B383" s="1" t="n">
        <v>44990.89752314815</v>
      </c>
      <c r="C383" s="1" t="n">
        <v>46089</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9585-2025</t>
        </is>
      </c>
      <c r="B384" s="1" t="n">
        <v>45715.63409722222</v>
      </c>
      <c r="C384" s="1" t="n">
        <v>46089</v>
      </c>
      <c r="D384" t="inlineStr">
        <is>
          <t>ÖREBRO LÄN</t>
        </is>
      </c>
      <c r="E384" t="inlineStr">
        <is>
          <t>ÖREBRO</t>
        </is>
      </c>
      <c r="G384" t="n">
        <v>3.4</v>
      </c>
      <c r="H384" t="n">
        <v>0</v>
      </c>
      <c r="I384" t="n">
        <v>0</v>
      </c>
      <c r="J384" t="n">
        <v>0</v>
      </c>
      <c r="K384" t="n">
        <v>0</v>
      </c>
      <c r="L384" t="n">
        <v>0</v>
      </c>
      <c r="M384" t="n">
        <v>0</v>
      </c>
      <c r="N384" t="n">
        <v>0</v>
      </c>
      <c r="O384" t="n">
        <v>0</v>
      </c>
      <c r="P384" t="n">
        <v>0</v>
      </c>
      <c r="Q384" t="n">
        <v>0</v>
      </c>
      <c r="R384" s="2" t="inlineStr"/>
    </row>
    <row r="385" ht="15" customHeight="1">
      <c r="A385" t="inlineStr">
        <is>
          <t>A 2162-2026</t>
        </is>
      </c>
      <c r="B385" s="1" t="n">
        <v>46036.43479166667</v>
      </c>
      <c r="C385" s="1" t="n">
        <v>46089</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46089</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10972-2026</t>
        </is>
      </c>
      <c r="B387" s="1" t="n">
        <v>46079.45015046297</v>
      </c>
      <c r="C387" s="1" t="n">
        <v>46089</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5125-2024</t>
        </is>
      </c>
      <c r="B388" s="1" t="n">
        <v>45330</v>
      </c>
      <c r="C388" s="1" t="n">
        <v>46089</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10970-2026</t>
        </is>
      </c>
      <c r="B389" s="1" t="n">
        <v>46079.44788194444</v>
      </c>
      <c r="C389" s="1" t="n">
        <v>46089</v>
      </c>
      <c r="D389" t="inlineStr">
        <is>
          <t>ÖREBRO LÄN</t>
        </is>
      </c>
      <c r="E389" t="inlineStr">
        <is>
          <t>ÖREBRO</t>
        </is>
      </c>
      <c r="G389" t="n">
        <v>6.5</v>
      </c>
      <c r="H389" t="n">
        <v>0</v>
      </c>
      <c r="I389" t="n">
        <v>0</v>
      </c>
      <c r="J389" t="n">
        <v>0</v>
      </c>
      <c r="K389" t="n">
        <v>0</v>
      </c>
      <c r="L389" t="n">
        <v>0</v>
      </c>
      <c r="M389" t="n">
        <v>0</v>
      </c>
      <c r="N389" t="n">
        <v>0</v>
      </c>
      <c r="O389" t="n">
        <v>0</v>
      </c>
      <c r="P389" t="n">
        <v>0</v>
      </c>
      <c r="Q389" t="n">
        <v>0</v>
      </c>
      <c r="R389" s="2" t="inlineStr"/>
    </row>
    <row r="390" ht="15" customHeight="1">
      <c r="A390" t="inlineStr">
        <is>
          <t>A 42138-2024</t>
        </is>
      </c>
      <c r="B390" s="1" t="n">
        <v>45562.41854166667</v>
      </c>
      <c r="C390" s="1" t="n">
        <v>46089</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26101-2022</t>
        </is>
      </c>
      <c r="B391" s="1" t="n">
        <v>44734</v>
      </c>
      <c r="C391" s="1" t="n">
        <v>46089</v>
      </c>
      <c r="D391" t="inlineStr">
        <is>
          <t>ÖREBRO LÄN</t>
        </is>
      </c>
      <c r="E391" t="inlineStr">
        <is>
          <t>ÖREBRO</t>
        </is>
      </c>
      <c r="G391" t="n">
        <v>15.8</v>
      </c>
      <c r="H391" t="n">
        <v>0</v>
      </c>
      <c r="I391" t="n">
        <v>0</v>
      </c>
      <c r="J391" t="n">
        <v>0</v>
      </c>
      <c r="K391" t="n">
        <v>0</v>
      </c>
      <c r="L391" t="n">
        <v>0</v>
      </c>
      <c r="M391" t="n">
        <v>0</v>
      </c>
      <c r="N391" t="n">
        <v>0</v>
      </c>
      <c r="O391" t="n">
        <v>0</v>
      </c>
      <c r="P391" t="n">
        <v>0</v>
      </c>
      <c r="Q391" t="n">
        <v>0</v>
      </c>
      <c r="R391" s="2" t="inlineStr"/>
    </row>
    <row r="392" ht="15" customHeight="1">
      <c r="A392" t="inlineStr">
        <is>
          <t>A 2095-2025</t>
        </is>
      </c>
      <c r="B392" s="1" t="n">
        <v>45672</v>
      </c>
      <c r="C392" s="1" t="n">
        <v>46089</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46089</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71206-2021</t>
        </is>
      </c>
      <c r="B394" s="1" t="n">
        <v>44539</v>
      </c>
      <c r="C394" s="1" t="n">
        <v>46089</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10944-2026</t>
        </is>
      </c>
      <c r="B395" s="1" t="n">
        <v>46079.37659722222</v>
      </c>
      <c r="C395" s="1" t="n">
        <v>46089</v>
      </c>
      <c r="D395" t="inlineStr">
        <is>
          <t>ÖREBRO LÄN</t>
        </is>
      </c>
      <c r="E395" t="inlineStr">
        <is>
          <t>ÖREBRO</t>
        </is>
      </c>
      <c r="G395" t="n">
        <v>2.7</v>
      </c>
      <c r="H395" t="n">
        <v>0</v>
      </c>
      <c r="I395" t="n">
        <v>0</v>
      </c>
      <c r="J395" t="n">
        <v>0</v>
      </c>
      <c r="K395" t="n">
        <v>0</v>
      </c>
      <c r="L395" t="n">
        <v>0</v>
      </c>
      <c r="M395" t="n">
        <v>0</v>
      </c>
      <c r="N395" t="n">
        <v>0</v>
      </c>
      <c r="O395" t="n">
        <v>0</v>
      </c>
      <c r="P395" t="n">
        <v>0</v>
      </c>
      <c r="Q395" t="n">
        <v>0</v>
      </c>
      <c r="R395" s="2" t="inlineStr"/>
    </row>
    <row r="396" ht="15" customHeight="1">
      <c r="A396" t="inlineStr">
        <is>
          <t>A 59515-2025</t>
        </is>
      </c>
      <c r="B396" s="1" t="n">
        <v>45989.65238425926</v>
      </c>
      <c r="C396" s="1" t="n">
        <v>46089</v>
      </c>
      <c r="D396" t="inlineStr">
        <is>
          <t>ÖREBRO LÄN</t>
        </is>
      </c>
      <c r="E396" t="inlineStr">
        <is>
          <t>ÖREBRO</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48140-2024</t>
        </is>
      </c>
      <c r="B397" s="1" t="n">
        <v>45589.66474537037</v>
      </c>
      <c r="C397" s="1" t="n">
        <v>46089</v>
      </c>
      <c r="D397" t="inlineStr">
        <is>
          <t>ÖREBRO LÄN</t>
        </is>
      </c>
      <c r="E397" t="inlineStr">
        <is>
          <t>ÖREBRO</t>
        </is>
      </c>
      <c r="G397" t="n">
        <v>2.4</v>
      </c>
      <c r="H397" t="n">
        <v>0</v>
      </c>
      <c r="I397" t="n">
        <v>0</v>
      </c>
      <c r="J397" t="n">
        <v>0</v>
      </c>
      <c r="K397" t="n">
        <v>0</v>
      </c>
      <c r="L397" t="n">
        <v>0</v>
      </c>
      <c r="M397" t="n">
        <v>0</v>
      </c>
      <c r="N397" t="n">
        <v>0</v>
      </c>
      <c r="O397" t="n">
        <v>0</v>
      </c>
      <c r="P397" t="n">
        <v>0</v>
      </c>
      <c r="Q397" t="n">
        <v>0</v>
      </c>
      <c r="R397" s="2" t="inlineStr"/>
    </row>
    <row r="398" ht="15" customHeight="1">
      <c r="A398" t="inlineStr">
        <is>
          <t>A 58587-2025</t>
        </is>
      </c>
      <c r="B398" s="1" t="n">
        <v>45986.40208333333</v>
      </c>
      <c r="C398" s="1" t="n">
        <v>46089</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41703-2024</t>
        </is>
      </c>
      <c r="B399" s="1" t="n">
        <v>45560</v>
      </c>
      <c r="C399" s="1" t="n">
        <v>46089</v>
      </c>
      <c r="D399" t="inlineStr">
        <is>
          <t>ÖREBRO LÄN</t>
        </is>
      </c>
      <c r="E399" t="inlineStr">
        <is>
          <t>ÖREBRO</t>
        </is>
      </c>
      <c r="G399" t="n">
        <v>6.4</v>
      </c>
      <c r="H399" t="n">
        <v>0</v>
      </c>
      <c r="I399" t="n">
        <v>0</v>
      </c>
      <c r="J399" t="n">
        <v>0</v>
      </c>
      <c r="K399" t="n">
        <v>0</v>
      </c>
      <c r="L399" t="n">
        <v>0</v>
      </c>
      <c r="M399" t="n">
        <v>0</v>
      </c>
      <c r="N399" t="n">
        <v>0</v>
      </c>
      <c r="O399" t="n">
        <v>0</v>
      </c>
      <c r="P399" t="n">
        <v>0</v>
      </c>
      <c r="Q399" t="n">
        <v>0</v>
      </c>
      <c r="R399" s="2" t="inlineStr"/>
    </row>
    <row r="400" ht="15" customHeight="1">
      <c r="A400" t="inlineStr">
        <is>
          <t>A 59312-2025</t>
        </is>
      </c>
      <c r="B400" s="1" t="n">
        <v>45989.30467592592</v>
      </c>
      <c r="C400" s="1" t="n">
        <v>46089</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46089</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59145-2025</t>
        </is>
      </c>
      <c r="B402" s="1" t="n">
        <v>45988.52015046297</v>
      </c>
      <c r="C402" s="1" t="n">
        <v>46089</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59857-2025</t>
        </is>
      </c>
      <c r="B403" s="1" t="n">
        <v>45992.75820601852</v>
      </c>
      <c r="C403" s="1" t="n">
        <v>46089</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46089</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33577-2023</t>
        </is>
      </c>
      <c r="B405" s="1" t="n">
        <v>45131</v>
      </c>
      <c r="C405" s="1" t="n">
        <v>46089</v>
      </c>
      <c r="D405" t="inlineStr">
        <is>
          <t>ÖREBRO LÄN</t>
        </is>
      </c>
      <c r="E405" t="inlineStr">
        <is>
          <t>ÖREBRO</t>
        </is>
      </c>
      <c r="G405" t="n">
        <v>2</v>
      </c>
      <c r="H405" t="n">
        <v>0</v>
      </c>
      <c r="I405" t="n">
        <v>0</v>
      </c>
      <c r="J405" t="n">
        <v>0</v>
      </c>
      <c r="K405" t="n">
        <v>0</v>
      </c>
      <c r="L405" t="n">
        <v>0</v>
      </c>
      <c r="M405" t="n">
        <v>0</v>
      </c>
      <c r="N405" t="n">
        <v>0</v>
      </c>
      <c r="O405" t="n">
        <v>0</v>
      </c>
      <c r="P405" t="n">
        <v>0</v>
      </c>
      <c r="Q405" t="n">
        <v>0</v>
      </c>
      <c r="R405" s="2" t="inlineStr"/>
    </row>
    <row r="406" ht="15" customHeight="1">
      <c r="A406" t="inlineStr">
        <is>
          <t>A 38489-2023</t>
        </is>
      </c>
      <c r="B406" s="1" t="n">
        <v>45162</v>
      </c>
      <c r="C406" s="1" t="n">
        <v>46089</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59856-2025</t>
        </is>
      </c>
      <c r="B407" s="1" t="n">
        <v>45992.74891203704</v>
      </c>
      <c r="C407" s="1" t="n">
        <v>46089</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59860-2025</t>
        </is>
      </c>
      <c r="B408" s="1" t="n">
        <v>45992.78351851852</v>
      </c>
      <c r="C408" s="1" t="n">
        <v>46089</v>
      </c>
      <c r="D408" t="inlineStr">
        <is>
          <t>ÖREBRO LÄN</t>
        </is>
      </c>
      <c r="E408" t="inlineStr">
        <is>
          <t>ÖREBRO</t>
        </is>
      </c>
      <c r="G408" t="n">
        <v>0.8</v>
      </c>
      <c r="H408" t="n">
        <v>0</v>
      </c>
      <c r="I408" t="n">
        <v>0</v>
      </c>
      <c r="J408" t="n">
        <v>0</v>
      </c>
      <c r="K408" t="n">
        <v>0</v>
      </c>
      <c r="L408" t="n">
        <v>0</v>
      </c>
      <c r="M408" t="n">
        <v>0</v>
      </c>
      <c r="N408" t="n">
        <v>0</v>
      </c>
      <c r="O408" t="n">
        <v>0</v>
      </c>
      <c r="P408" t="n">
        <v>0</v>
      </c>
      <c r="Q408" t="n">
        <v>0</v>
      </c>
      <c r="R408" s="2" t="inlineStr"/>
    </row>
    <row r="409" ht="15" customHeight="1">
      <c r="A409" t="inlineStr">
        <is>
          <t>A 59858-2025</t>
        </is>
      </c>
      <c r="B409" s="1" t="n">
        <v>45992.76758101852</v>
      </c>
      <c r="C409" s="1" t="n">
        <v>46089</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59859-2025</t>
        </is>
      </c>
      <c r="B410" s="1" t="n">
        <v>45992.7803125</v>
      </c>
      <c r="C410" s="1" t="n">
        <v>46089</v>
      </c>
      <c r="D410" t="inlineStr">
        <is>
          <t>ÖREBRO LÄN</t>
        </is>
      </c>
      <c r="E410" t="inlineStr">
        <is>
          <t>ÖREBRO</t>
        </is>
      </c>
      <c r="G410" t="n">
        <v>0.4</v>
      </c>
      <c r="H410" t="n">
        <v>0</v>
      </c>
      <c r="I410" t="n">
        <v>0</v>
      </c>
      <c r="J410" t="n">
        <v>0</v>
      </c>
      <c r="K410" t="n">
        <v>0</v>
      </c>
      <c r="L410" t="n">
        <v>0</v>
      </c>
      <c r="M410" t="n">
        <v>0</v>
      </c>
      <c r="N410" t="n">
        <v>0</v>
      </c>
      <c r="O410" t="n">
        <v>0</v>
      </c>
      <c r="P410" t="n">
        <v>0</v>
      </c>
      <c r="Q410" t="n">
        <v>0</v>
      </c>
      <c r="R410" s="2" t="inlineStr"/>
    </row>
    <row r="411" ht="15" customHeight="1">
      <c r="A411" t="inlineStr">
        <is>
          <t>A 59937-2025</t>
        </is>
      </c>
      <c r="B411" s="1" t="n">
        <v>45993.41934027777</v>
      </c>
      <c r="C411" s="1" t="n">
        <v>46089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19763-2024</t>
        </is>
      </c>
      <c r="B412" s="1" t="n">
        <v>45432</v>
      </c>
      <c r="C412" s="1" t="n">
        <v>46089</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14545-2023</t>
        </is>
      </c>
      <c r="B413" s="1" t="n">
        <v>45013.34895833334</v>
      </c>
      <c r="C413" s="1" t="n">
        <v>46089</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54917-2023</t>
        </is>
      </c>
      <c r="B414" s="1" t="n">
        <v>45229</v>
      </c>
      <c r="C414" s="1" t="n">
        <v>46089</v>
      </c>
      <c r="D414" t="inlineStr">
        <is>
          <t>ÖREBRO LÄN</t>
        </is>
      </c>
      <c r="E414" t="inlineStr">
        <is>
          <t>ÖREBRO</t>
        </is>
      </c>
      <c r="G414" t="n">
        <v>3.1</v>
      </c>
      <c r="H414" t="n">
        <v>0</v>
      </c>
      <c r="I414" t="n">
        <v>0</v>
      </c>
      <c r="J414" t="n">
        <v>0</v>
      </c>
      <c r="K414" t="n">
        <v>0</v>
      </c>
      <c r="L414" t="n">
        <v>0</v>
      </c>
      <c r="M414" t="n">
        <v>0</v>
      </c>
      <c r="N414" t="n">
        <v>0</v>
      </c>
      <c r="O414" t="n">
        <v>0</v>
      </c>
      <c r="P414" t="n">
        <v>0</v>
      </c>
      <c r="Q414" t="n">
        <v>0</v>
      </c>
      <c r="R414" s="2" t="inlineStr"/>
    </row>
    <row r="415" ht="15" customHeight="1">
      <c r="A415" t="inlineStr">
        <is>
          <t>A 14432-2023</t>
        </is>
      </c>
      <c r="B415" s="1" t="n">
        <v>45012</v>
      </c>
      <c r="C415" s="1" t="n">
        <v>46089</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60551-2025</t>
        </is>
      </c>
      <c r="B416" s="1" t="n">
        <v>45995</v>
      </c>
      <c r="C416" s="1" t="n">
        <v>46089</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3652-2022</t>
        </is>
      </c>
      <c r="B417" s="1" t="n">
        <v>44586.46921296296</v>
      </c>
      <c r="C417" s="1" t="n">
        <v>46089</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37021-2024</t>
        </is>
      </c>
      <c r="B418" s="1" t="n">
        <v>45539.38146990741</v>
      </c>
      <c r="C418" s="1" t="n">
        <v>46089</v>
      </c>
      <c r="D418" t="inlineStr">
        <is>
          <t>ÖREBRO LÄN</t>
        </is>
      </c>
      <c r="E418" t="inlineStr">
        <is>
          <t>ÖREBRO</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60466-2025</t>
        </is>
      </c>
      <c r="B419" s="1" t="n">
        <v>45995.55927083334</v>
      </c>
      <c r="C419" s="1" t="n">
        <v>46089</v>
      </c>
      <c r="D419" t="inlineStr">
        <is>
          <t>ÖREBRO LÄN</t>
        </is>
      </c>
      <c r="E419" t="inlineStr">
        <is>
          <t>ÖREBRO</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60555-2025</t>
        </is>
      </c>
      <c r="B420" s="1" t="n">
        <v>45995.73722222223</v>
      </c>
      <c r="C420" s="1" t="n">
        <v>46089</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2970-2026</t>
        </is>
      </c>
      <c r="B421" s="1" t="n">
        <v>46038.6202662037</v>
      </c>
      <c r="C421" s="1" t="n">
        <v>46089</v>
      </c>
      <c r="D421" t="inlineStr">
        <is>
          <t>ÖREBRO LÄN</t>
        </is>
      </c>
      <c r="E421" t="inlineStr">
        <is>
          <t>ÖREBRO</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60720-2025</t>
        </is>
      </c>
      <c r="B422" s="1" t="n">
        <v>45996.64050925926</v>
      </c>
      <c r="C422" s="1" t="n">
        <v>46089</v>
      </c>
      <c r="D422" t="inlineStr">
        <is>
          <t>ÖREBRO LÄN</t>
        </is>
      </c>
      <c r="E422" t="inlineStr">
        <is>
          <t>ÖREBRO</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3252-2026</t>
        </is>
      </c>
      <c r="B423" s="1" t="n">
        <v>46041.58626157408</v>
      </c>
      <c r="C423" s="1" t="n">
        <v>46089</v>
      </c>
      <c r="D423" t="inlineStr">
        <is>
          <t>ÖREBRO LÄN</t>
        </is>
      </c>
      <c r="E423" t="inlineStr">
        <is>
          <t>ÖREBRO</t>
        </is>
      </c>
      <c r="F423" t="inlineStr">
        <is>
          <t>Övriga Aktiebolag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52499-2024</t>
        </is>
      </c>
      <c r="B424" s="1" t="n">
        <v>45609.58422453704</v>
      </c>
      <c r="C424" s="1" t="n">
        <v>46089</v>
      </c>
      <c r="D424" t="inlineStr">
        <is>
          <t>ÖREBRO LÄN</t>
        </is>
      </c>
      <c r="E424" t="inlineStr">
        <is>
          <t>ÖREBRO</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60840-2025</t>
        </is>
      </c>
      <c r="B425" s="1" t="n">
        <v>45999.48547453704</v>
      </c>
      <c r="C425" s="1" t="n">
        <v>46089</v>
      </c>
      <c r="D425" t="inlineStr">
        <is>
          <t>ÖREBRO LÄN</t>
        </is>
      </c>
      <c r="E425" t="inlineStr">
        <is>
          <t>ÖREBRO</t>
        </is>
      </c>
      <c r="G425" t="n">
        <v>3.5</v>
      </c>
      <c r="H425" t="n">
        <v>0</v>
      </c>
      <c r="I425" t="n">
        <v>0</v>
      </c>
      <c r="J425" t="n">
        <v>0</v>
      </c>
      <c r="K425" t="n">
        <v>0</v>
      </c>
      <c r="L425" t="n">
        <v>0</v>
      </c>
      <c r="M425" t="n">
        <v>0</v>
      </c>
      <c r="N425" t="n">
        <v>0</v>
      </c>
      <c r="O425" t="n">
        <v>0</v>
      </c>
      <c r="P425" t="n">
        <v>0</v>
      </c>
      <c r="Q425" t="n">
        <v>0</v>
      </c>
      <c r="R425" s="2" t="inlineStr"/>
    </row>
    <row r="426" ht="15" customHeight="1">
      <c r="A426" t="inlineStr">
        <is>
          <t>A 14960-2025</t>
        </is>
      </c>
      <c r="B426" s="1" t="n">
        <v>45743.5853125</v>
      </c>
      <c r="C426" s="1" t="n">
        <v>46089</v>
      </c>
      <c r="D426" t="inlineStr">
        <is>
          <t>ÖREBRO LÄN</t>
        </is>
      </c>
      <c r="E426" t="inlineStr">
        <is>
          <t>ÖREBRO</t>
        </is>
      </c>
      <c r="G426" t="n">
        <v>1.6</v>
      </c>
      <c r="H426" t="n">
        <v>0</v>
      </c>
      <c r="I426" t="n">
        <v>0</v>
      </c>
      <c r="J426" t="n">
        <v>0</v>
      </c>
      <c r="K426" t="n">
        <v>0</v>
      </c>
      <c r="L426" t="n">
        <v>0</v>
      </c>
      <c r="M426" t="n">
        <v>0</v>
      </c>
      <c r="N426" t="n">
        <v>0</v>
      </c>
      <c r="O426" t="n">
        <v>0</v>
      </c>
      <c r="P426" t="n">
        <v>0</v>
      </c>
      <c r="Q426" t="n">
        <v>0</v>
      </c>
      <c r="R426" s="2" t="inlineStr"/>
    </row>
    <row r="427" ht="15" customHeight="1">
      <c r="A427" t="inlineStr">
        <is>
          <t>A 60717-2025</t>
        </is>
      </c>
      <c r="B427" s="1" t="n">
        <v>45996.63673611111</v>
      </c>
      <c r="C427" s="1" t="n">
        <v>46089</v>
      </c>
      <c r="D427" t="inlineStr">
        <is>
          <t>ÖREBRO LÄN</t>
        </is>
      </c>
      <c r="E427" t="inlineStr">
        <is>
          <t>ÖREBRO</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60718-2025</t>
        </is>
      </c>
      <c r="B428" s="1" t="n">
        <v>45996.6384375</v>
      </c>
      <c r="C428" s="1" t="n">
        <v>46089</v>
      </c>
      <c r="D428" t="inlineStr">
        <is>
          <t>ÖREBRO LÄN</t>
        </is>
      </c>
      <c r="E428" t="inlineStr">
        <is>
          <t>ÖREBRO</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60721-2025</t>
        </is>
      </c>
      <c r="B429" s="1" t="n">
        <v>45996</v>
      </c>
      <c r="C429" s="1" t="n">
        <v>46089</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3111-2026</t>
        </is>
      </c>
      <c r="B430" s="1" t="n">
        <v>46041.36004629629</v>
      </c>
      <c r="C430" s="1" t="n">
        <v>46089</v>
      </c>
      <c r="D430" t="inlineStr">
        <is>
          <t>ÖREBRO LÄN</t>
        </is>
      </c>
      <c r="E430" t="inlineStr">
        <is>
          <t>ÖREBRO</t>
        </is>
      </c>
      <c r="F430" t="inlineStr">
        <is>
          <t>Övriga Aktiebolag</t>
        </is>
      </c>
      <c r="G430" t="n">
        <v>8.6</v>
      </c>
      <c r="H430" t="n">
        <v>0</v>
      </c>
      <c r="I430" t="n">
        <v>0</v>
      </c>
      <c r="J430" t="n">
        <v>0</v>
      </c>
      <c r="K430" t="n">
        <v>0</v>
      </c>
      <c r="L430" t="n">
        <v>0</v>
      </c>
      <c r="M430" t="n">
        <v>0</v>
      </c>
      <c r="N430" t="n">
        <v>0</v>
      </c>
      <c r="O430" t="n">
        <v>0</v>
      </c>
      <c r="P430" t="n">
        <v>0</v>
      </c>
      <c r="Q430" t="n">
        <v>0</v>
      </c>
      <c r="R430" s="2" t="inlineStr"/>
    </row>
    <row r="431" ht="15" customHeight="1">
      <c r="A431" t="inlineStr">
        <is>
          <t>A 13623-2024</t>
        </is>
      </c>
      <c r="B431" s="1" t="n">
        <v>45390.38626157407</v>
      </c>
      <c r="C431" s="1" t="n">
        <v>46089</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61525-2025</t>
        </is>
      </c>
      <c r="B432" s="1" t="n">
        <v>46001</v>
      </c>
      <c r="C432" s="1" t="n">
        <v>46089</v>
      </c>
      <c r="D432" t="inlineStr">
        <is>
          <t>ÖREBRO LÄN</t>
        </is>
      </c>
      <c r="E432" t="inlineStr">
        <is>
          <t>ÖREBRO</t>
        </is>
      </c>
      <c r="G432" t="n">
        <v>2.6</v>
      </c>
      <c r="H432" t="n">
        <v>0</v>
      </c>
      <c r="I432" t="n">
        <v>0</v>
      </c>
      <c r="J432" t="n">
        <v>0</v>
      </c>
      <c r="K432" t="n">
        <v>0</v>
      </c>
      <c r="L432" t="n">
        <v>0</v>
      </c>
      <c r="M432" t="n">
        <v>0</v>
      </c>
      <c r="N432" t="n">
        <v>0</v>
      </c>
      <c r="O432" t="n">
        <v>0</v>
      </c>
      <c r="P432" t="n">
        <v>0</v>
      </c>
      <c r="Q432" t="n">
        <v>0</v>
      </c>
      <c r="R432" s="2" t="inlineStr"/>
    </row>
    <row r="433" ht="15" customHeight="1">
      <c r="A433" t="inlineStr">
        <is>
          <t>A 3031-2026</t>
        </is>
      </c>
      <c r="B433" s="1" t="n">
        <v>46038.71271990741</v>
      </c>
      <c r="C433" s="1" t="n">
        <v>46089</v>
      </c>
      <c r="D433" t="inlineStr">
        <is>
          <t>ÖREBRO LÄN</t>
        </is>
      </c>
      <c r="E433" t="inlineStr">
        <is>
          <t>ÖREBRO</t>
        </is>
      </c>
      <c r="F433" t="inlineStr">
        <is>
          <t>Övriga Aktiebolag</t>
        </is>
      </c>
      <c r="G433" t="n">
        <v>1.4</v>
      </c>
      <c r="H433" t="n">
        <v>0</v>
      </c>
      <c r="I433" t="n">
        <v>0</v>
      </c>
      <c r="J433" t="n">
        <v>0</v>
      </c>
      <c r="K433" t="n">
        <v>0</v>
      </c>
      <c r="L433" t="n">
        <v>0</v>
      </c>
      <c r="M433" t="n">
        <v>0</v>
      </c>
      <c r="N433" t="n">
        <v>0</v>
      </c>
      <c r="O433" t="n">
        <v>0</v>
      </c>
      <c r="P433" t="n">
        <v>0</v>
      </c>
      <c r="Q433" t="n">
        <v>0</v>
      </c>
      <c r="R433" s="2" t="inlineStr"/>
    </row>
    <row r="434" ht="15" customHeight="1">
      <c r="A434" t="inlineStr">
        <is>
          <t>A 3033-2026</t>
        </is>
      </c>
      <c r="B434" s="1" t="n">
        <v>46038.71920138889</v>
      </c>
      <c r="C434" s="1" t="n">
        <v>46089</v>
      </c>
      <c r="D434" t="inlineStr">
        <is>
          <t>ÖREBRO LÄN</t>
        </is>
      </c>
      <c r="E434" t="inlineStr">
        <is>
          <t>ÖREBRO</t>
        </is>
      </c>
      <c r="F434" t="inlineStr">
        <is>
          <t>Övriga Aktiebolag</t>
        </is>
      </c>
      <c r="G434" t="n">
        <v>3.4</v>
      </c>
      <c r="H434" t="n">
        <v>0</v>
      </c>
      <c r="I434" t="n">
        <v>0</v>
      </c>
      <c r="J434" t="n">
        <v>0</v>
      </c>
      <c r="K434" t="n">
        <v>0</v>
      </c>
      <c r="L434" t="n">
        <v>0</v>
      </c>
      <c r="M434" t="n">
        <v>0</v>
      </c>
      <c r="N434" t="n">
        <v>0</v>
      </c>
      <c r="O434" t="n">
        <v>0</v>
      </c>
      <c r="P434" t="n">
        <v>0</v>
      </c>
      <c r="Q434" t="n">
        <v>0</v>
      </c>
      <c r="R434" s="2" t="inlineStr"/>
    </row>
    <row r="435" ht="15" customHeight="1">
      <c r="A435" t="inlineStr">
        <is>
          <t>A 5619-2023</t>
        </is>
      </c>
      <c r="B435" s="1" t="n">
        <v>44958</v>
      </c>
      <c r="C435" s="1" t="n">
        <v>46089</v>
      </c>
      <c r="D435" t="inlineStr">
        <is>
          <t>ÖREBRO LÄN</t>
        </is>
      </c>
      <c r="E435" t="inlineStr">
        <is>
          <t>ÖREBRO</t>
        </is>
      </c>
      <c r="G435" t="n">
        <v>27</v>
      </c>
      <c r="H435" t="n">
        <v>0</v>
      </c>
      <c r="I435" t="n">
        <v>0</v>
      </c>
      <c r="J435" t="n">
        <v>0</v>
      </c>
      <c r="K435" t="n">
        <v>0</v>
      </c>
      <c r="L435" t="n">
        <v>0</v>
      </c>
      <c r="M435" t="n">
        <v>0</v>
      </c>
      <c r="N435" t="n">
        <v>0</v>
      </c>
      <c r="O435" t="n">
        <v>0</v>
      </c>
      <c r="P435" t="n">
        <v>0</v>
      </c>
      <c r="Q435" t="n">
        <v>0</v>
      </c>
      <c r="R435" s="2" t="inlineStr"/>
    </row>
    <row r="436" ht="15" customHeight="1">
      <c r="A436" t="inlineStr">
        <is>
          <t>A 37277-2022</t>
        </is>
      </c>
      <c r="B436" s="1" t="n">
        <v>44807.49150462963</v>
      </c>
      <c r="C436" s="1" t="n">
        <v>46089</v>
      </c>
      <c r="D436" t="inlineStr">
        <is>
          <t>ÖREBRO LÄN</t>
        </is>
      </c>
      <c r="E436" t="inlineStr">
        <is>
          <t>ÖREBRO</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11286-2026</t>
        </is>
      </c>
      <c r="B437" s="1" t="n">
        <v>46080</v>
      </c>
      <c r="C437" s="1" t="n">
        <v>46089</v>
      </c>
      <c r="D437" t="inlineStr">
        <is>
          <t>ÖREBRO LÄN</t>
        </is>
      </c>
      <c r="E437" t="inlineStr">
        <is>
          <t>ÖREBRO</t>
        </is>
      </c>
      <c r="G437" t="n">
        <v>5.4</v>
      </c>
      <c r="H437" t="n">
        <v>0</v>
      </c>
      <c r="I437" t="n">
        <v>0</v>
      </c>
      <c r="J437" t="n">
        <v>0</v>
      </c>
      <c r="K437" t="n">
        <v>0</v>
      </c>
      <c r="L437" t="n">
        <v>0</v>
      </c>
      <c r="M437" t="n">
        <v>0</v>
      </c>
      <c r="N437" t="n">
        <v>0</v>
      </c>
      <c r="O437" t="n">
        <v>0</v>
      </c>
      <c r="P437" t="n">
        <v>0</v>
      </c>
      <c r="Q437" t="n">
        <v>0</v>
      </c>
      <c r="R437" s="2" t="inlineStr"/>
    </row>
    <row r="438" ht="15" customHeight="1">
      <c r="A438" t="inlineStr">
        <is>
          <t>A 23573-2023</t>
        </is>
      </c>
      <c r="B438" s="1" t="n">
        <v>45077.41672453703</v>
      </c>
      <c r="C438" s="1" t="n">
        <v>46089</v>
      </c>
      <c r="D438" t="inlineStr">
        <is>
          <t>ÖREBRO LÄN</t>
        </is>
      </c>
      <c r="E438" t="inlineStr">
        <is>
          <t>ÖREBRO</t>
        </is>
      </c>
      <c r="G438" t="n">
        <v>2.9</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46089</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61593-2023</t>
        </is>
      </c>
      <c r="B440" s="1" t="n">
        <v>45265</v>
      </c>
      <c r="C440" s="1" t="n">
        <v>46089</v>
      </c>
      <c r="D440" t="inlineStr">
        <is>
          <t>ÖREBRO LÄN</t>
        </is>
      </c>
      <c r="E440" t="inlineStr">
        <is>
          <t>ÖREBRO</t>
        </is>
      </c>
      <c r="G440" t="n">
        <v>2.5</v>
      </c>
      <c r="H440" t="n">
        <v>0</v>
      </c>
      <c r="I440" t="n">
        <v>0</v>
      </c>
      <c r="J440" t="n">
        <v>0</v>
      </c>
      <c r="K440" t="n">
        <v>0</v>
      </c>
      <c r="L440" t="n">
        <v>0</v>
      </c>
      <c r="M440" t="n">
        <v>0</v>
      </c>
      <c r="N440" t="n">
        <v>0</v>
      </c>
      <c r="O440" t="n">
        <v>0</v>
      </c>
      <c r="P440" t="n">
        <v>0</v>
      </c>
      <c r="Q440" t="n">
        <v>0</v>
      </c>
      <c r="R440" s="2" t="inlineStr"/>
    </row>
    <row r="441" ht="15" customHeight="1">
      <c r="A441" t="inlineStr">
        <is>
          <t>A 61930-2025</t>
        </is>
      </c>
      <c r="B441" s="1" t="n">
        <v>46003</v>
      </c>
      <c r="C441" s="1" t="n">
        <v>46089</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59024-2024</t>
        </is>
      </c>
      <c r="B442" s="1" t="n">
        <v>45636.68505787037</v>
      </c>
      <c r="C442" s="1" t="n">
        <v>46089</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10816-2026</t>
        </is>
      </c>
      <c r="B443" s="1" t="n">
        <v>46078.61224537037</v>
      </c>
      <c r="C443" s="1" t="n">
        <v>46089</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10339-2023</t>
        </is>
      </c>
      <c r="B444" s="1" t="n">
        <v>44987</v>
      </c>
      <c r="C444" s="1" t="n">
        <v>46089</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31247-2023</t>
        </is>
      </c>
      <c r="B445" s="1" t="n">
        <v>45114</v>
      </c>
      <c r="C445" s="1" t="n">
        <v>46089</v>
      </c>
      <c r="D445" t="inlineStr">
        <is>
          <t>ÖREBRO LÄN</t>
        </is>
      </c>
      <c r="E445" t="inlineStr">
        <is>
          <t>ÖREBRO</t>
        </is>
      </c>
      <c r="F445" t="inlineStr">
        <is>
          <t>Allmännings- och besparingsskogar</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16165-2023</t>
        </is>
      </c>
      <c r="B446" s="1" t="n">
        <v>45027</v>
      </c>
      <c r="C446" s="1" t="n">
        <v>46089</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39130-2023</t>
        </is>
      </c>
      <c r="B447" s="1" t="n">
        <v>45165</v>
      </c>
      <c r="C447" s="1" t="n">
        <v>46089</v>
      </c>
      <c r="D447" t="inlineStr">
        <is>
          <t>ÖREBRO LÄN</t>
        </is>
      </c>
      <c r="E447" t="inlineStr">
        <is>
          <t>ÖREBRO</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50398-2022</t>
        </is>
      </c>
      <c r="B448" s="1" t="n">
        <v>44861</v>
      </c>
      <c r="C448" s="1" t="n">
        <v>46089</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9379-2024</t>
        </is>
      </c>
      <c r="B449" s="1" t="n">
        <v>45359.37298611111</v>
      </c>
      <c r="C449" s="1" t="n">
        <v>46089</v>
      </c>
      <c r="D449" t="inlineStr">
        <is>
          <t>ÖREBRO LÄN</t>
        </is>
      </c>
      <c r="E449" t="inlineStr">
        <is>
          <t>ÖREBRO</t>
        </is>
      </c>
      <c r="G449" t="n">
        <v>2.4</v>
      </c>
      <c r="H449" t="n">
        <v>0</v>
      </c>
      <c r="I449" t="n">
        <v>0</v>
      </c>
      <c r="J449" t="n">
        <v>0</v>
      </c>
      <c r="K449" t="n">
        <v>0</v>
      </c>
      <c r="L449" t="n">
        <v>0</v>
      </c>
      <c r="M449" t="n">
        <v>0</v>
      </c>
      <c r="N449" t="n">
        <v>0</v>
      </c>
      <c r="O449" t="n">
        <v>0</v>
      </c>
      <c r="P449" t="n">
        <v>0</v>
      </c>
      <c r="Q449" t="n">
        <v>0</v>
      </c>
      <c r="R449" s="2" t="inlineStr"/>
    </row>
    <row r="450" ht="15" customHeight="1">
      <c r="A450" t="inlineStr">
        <is>
          <t>A 35345-2024</t>
        </is>
      </c>
      <c r="B450" s="1" t="n">
        <v>45530</v>
      </c>
      <c r="C450" s="1" t="n">
        <v>46089</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45517-2023</t>
        </is>
      </c>
      <c r="B451" s="1" t="n">
        <v>45194.49594907407</v>
      </c>
      <c r="C451" s="1" t="n">
        <v>46089</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32321-2023</t>
        </is>
      </c>
      <c r="B452" s="1" t="n">
        <v>45120</v>
      </c>
      <c r="C452" s="1" t="n">
        <v>46089</v>
      </c>
      <c r="D452" t="inlineStr">
        <is>
          <t>ÖREBRO LÄN</t>
        </is>
      </c>
      <c r="E452" t="inlineStr">
        <is>
          <t>ÖREBRO</t>
        </is>
      </c>
      <c r="G452" t="n">
        <v>3.4</v>
      </c>
      <c r="H452" t="n">
        <v>0</v>
      </c>
      <c r="I452" t="n">
        <v>0</v>
      </c>
      <c r="J452" t="n">
        <v>0</v>
      </c>
      <c r="K452" t="n">
        <v>0</v>
      </c>
      <c r="L452" t="n">
        <v>0</v>
      </c>
      <c r="M452" t="n">
        <v>0</v>
      </c>
      <c r="N452" t="n">
        <v>0</v>
      </c>
      <c r="O452" t="n">
        <v>0</v>
      </c>
      <c r="P452" t="n">
        <v>0</v>
      </c>
      <c r="Q452" t="n">
        <v>0</v>
      </c>
      <c r="R452" s="2" t="inlineStr"/>
    </row>
    <row r="453" ht="15" customHeight="1">
      <c r="A453" t="inlineStr">
        <is>
          <t>A 29138-2022</t>
        </is>
      </c>
      <c r="B453" s="1" t="n">
        <v>44750</v>
      </c>
      <c r="C453" s="1" t="n">
        <v>46089</v>
      </c>
      <c r="D453" t="inlineStr">
        <is>
          <t>ÖREBRO LÄN</t>
        </is>
      </c>
      <c r="E453" t="inlineStr">
        <is>
          <t>ÖREBRO</t>
        </is>
      </c>
      <c r="G453" t="n">
        <v>3.3</v>
      </c>
      <c r="H453" t="n">
        <v>0</v>
      </c>
      <c r="I453" t="n">
        <v>0</v>
      </c>
      <c r="J453" t="n">
        <v>0</v>
      </c>
      <c r="K453" t="n">
        <v>0</v>
      </c>
      <c r="L453" t="n">
        <v>0</v>
      </c>
      <c r="M453" t="n">
        <v>0</v>
      </c>
      <c r="N453" t="n">
        <v>0</v>
      </c>
      <c r="O453" t="n">
        <v>0</v>
      </c>
      <c r="P453" t="n">
        <v>0</v>
      </c>
      <c r="Q453" t="n">
        <v>0</v>
      </c>
      <c r="R453" s="2" t="inlineStr"/>
    </row>
    <row r="454" ht="15" customHeight="1">
      <c r="A454" t="inlineStr">
        <is>
          <t>A 29143-2022</t>
        </is>
      </c>
      <c r="B454" s="1" t="n">
        <v>44750</v>
      </c>
      <c r="C454" s="1" t="n">
        <v>46089</v>
      </c>
      <c r="D454" t="inlineStr">
        <is>
          <t>ÖREBRO LÄN</t>
        </is>
      </c>
      <c r="E454" t="inlineStr">
        <is>
          <t>ÖREBRO</t>
        </is>
      </c>
      <c r="G454" t="n">
        <v>5.6</v>
      </c>
      <c r="H454" t="n">
        <v>0</v>
      </c>
      <c r="I454" t="n">
        <v>0</v>
      </c>
      <c r="J454" t="n">
        <v>0</v>
      </c>
      <c r="K454" t="n">
        <v>0</v>
      </c>
      <c r="L454" t="n">
        <v>0</v>
      </c>
      <c r="M454" t="n">
        <v>0</v>
      </c>
      <c r="N454" t="n">
        <v>0</v>
      </c>
      <c r="O454" t="n">
        <v>0</v>
      </c>
      <c r="P454" t="n">
        <v>0</v>
      </c>
      <c r="Q454" t="n">
        <v>0</v>
      </c>
      <c r="R454" s="2" t="inlineStr"/>
    </row>
    <row r="455" ht="15" customHeight="1">
      <c r="A455" t="inlineStr">
        <is>
          <t>A 14234-2024</t>
        </is>
      </c>
      <c r="B455" s="1" t="n">
        <v>45393.46980324074</v>
      </c>
      <c r="C455" s="1" t="n">
        <v>46089</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62683-2025</t>
        </is>
      </c>
      <c r="B456" s="1" t="n">
        <v>46008.45796296297</v>
      </c>
      <c r="C456" s="1" t="n">
        <v>46089</v>
      </c>
      <c r="D456" t="inlineStr">
        <is>
          <t>ÖREBRO LÄN</t>
        </is>
      </c>
      <c r="E456" t="inlineStr">
        <is>
          <t>ÖREBRO</t>
        </is>
      </c>
      <c r="G456" t="n">
        <v>5.1</v>
      </c>
      <c r="H456" t="n">
        <v>0</v>
      </c>
      <c r="I456" t="n">
        <v>0</v>
      </c>
      <c r="J456" t="n">
        <v>0</v>
      </c>
      <c r="K456" t="n">
        <v>0</v>
      </c>
      <c r="L456" t="n">
        <v>0</v>
      </c>
      <c r="M456" t="n">
        <v>0</v>
      </c>
      <c r="N456" t="n">
        <v>0</v>
      </c>
      <c r="O456" t="n">
        <v>0</v>
      </c>
      <c r="P456" t="n">
        <v>0</v>
      </c>
      <c r="Q456" t="n">
        <v>0</v>
      </c>
      <c r="R456" s="2" t="inlineStr"/>
    </row>
    <row r="457" ht="15" customHeight="1">
      <c r="A457" t="inlineStr">
        <is>
          <t>A 55003-2025</t>
        </is>
      </c>
      <c r="B457" s="1" t="n">
        <v>45967</v>
      </c>
      <c r="C457" s="1" t="n">
        <v>46089</v>
      </c>
      <c r="D457" t="inlineStr">
        <is>
          <t>ÖREBRO LÄN</t>
        </is>
      </c>
      <c r="E457" t="inlineStr">
        <is>
          <t>ÖREBRO</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4557-2023</t>
        </is>
      </c>
      <c r="B458" s="1" t="n">
        <v>44956.6655787037</v>
      </c>
      <c r="C458" s="1" t="n">
        <v>46089</v>
      </c>
      <c r="D458" t="inlineStr">
        <is>
          <t>ÖREBRO LÄN</t>
        </is>
      </c>
      <c r="E458" t="inlineStr">
        <is>
          <t>ÖREBRO</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53558-2023</t>
        </is>
      </c>
      <c r="B459" s="1" t="n">
        <v>45230.47266203703</v>
      </c>
      <c r="C459" s="1" t="n">
        <v>46089</v>
      </c>
      <c r="D459" t="inlineStr">
        <is>
          <t>ÖREBRO LÄN</t>
        </is>
      </c>
      <c r="E459" t="inlineStr">
        <is>
          <t>ÖREBRO</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46518-2023</t>
        </is>
      </c>
      <c r="B460" s="1" t="n">
        <v>45197.72777777778</v>
      </c>
      <c r="C460" s="1" t="n">
        <v>46089</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7692-2023</t>
        </is>
      </c>
      <c r="B461" s="1" t="n">
        <v>44972.7762962963</v>
      </c>
      <c r="C461" s="1" t="n">
        <v>46089</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6220-2026</t>
        </is>
      </c>
      <c r="B462" s="1" t="n">
        <v>46055.43789351852</v>
      </c>
      <c r="C462" s="1" t="n">
        <v>46089</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3944-2026</t>
        </is>
      </c>
      <c r="B463" s="1" t="n">
        <v>46043.93358796297</v>
      </c>
      <c r="C463" s="1" t="n">
        <v>46089</v>
      </c>
      <c r="D463" t="inlineStr">
        <is>
          <t>ÖREBRO LÄN</t>
        </is>
      </c>
      <c r="E463" t="inlineStr">
        <is>
          <t>ÖREBRO</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46056-2024</t>
        </is>
      </c>
      <c r="B464" s="1" t="n">
        <v>45580.91502314815</v>
      </c>
      <c r="C464" s="1" t="n">
        <v>46089</v>
      </c>
      <c r="D464" t="inlineStr">
        <is>
          <t>ÖREBRO LÄN</t>
        </is>
      </c>
      <c r="E464" t="inlineStr">
        <is>
          <t>ÖREBRO</t>
        </is>
      </c>
      <c r="F464" t="inlineStr">
        <is>
          <t>Övriga Aktiebolag</t>
        </is>
      </c>
      <c r="G464" t="n">
        <v>4.5</v>
      </c>
      <c r="H464" t="n">
        <v>0</v>
      </c>
      <c r="I464" t="n">
        <v>0</v>
      </c>
      <c r="J464" t="n">
        <v>0</v>
      </c>
      <c r="K464" t="n">
        <v>0</v>
      </c>
      <c r="L464" t="n">
        <v>0</v>
      </c>
      <c r="M464" t="n">
        <v>0</v>
      </c>
      <c r="N464" t="n">
        <v>0</v>
      </c>
      <c r="O464" t="n">
        <v>0</v>
      </c>
      <c r="P464" t="n">
        <v>0</v>
      </c>
      <c r="Q464" t="n">
        <v>0</v>
      </c>
      <c r="R464" s="2" t="inlineStr"/>
    </row>
    <row r="465" ht="15" customHeight="1">
      <c r="A465" t="inlineStr">
        <is>
          <t>A 57638-2022</t>
        </is>
      </c>
      <c r="B465" s="1" t="n">
        <v>44897</v>
      </c>
      <c r="C465" s="1" t="n">
        <v>46089</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8274-2025</t>
        </is>
      </c>
      <c r="B466" s="1" t="n">
        <v>45708</v>
      </c>
      <c r="C466" s="1" t="n">
        <v>46089</v>
      </c>
      <c r="D466" t="inlineStr">
        <is>
          <t>ÖREBRO LÄN</t>
        </is>
      </c>
      <c r="E466" t="inlineStr">
        <is>
          <t>ÖREBRO</t>
        </is>
      </c>
      <c r="G466" t="n">
        <v>5.8</v>
      </c>
      <c r="H466" t="n">
        <v>0</v>
      </c>
      <c r="I466" t="n">
        <v>0</v>
      </c>
      <c r="J466" t="n">
        <v>0</v>
      </c>
      <c r="K466" t="n">
        <v>0</v>
      </c>
      <c r="L466" t="n">
        <v>0</v>
      </c>
      <c r="M466" t="n">
        <v>0</v>
      </c>
      <c r="N466" t="n">
        <v>0</v>
      </c>
      <c r="O466" t="n">
        <v>0</v>
      </c>
      <c r="P466" t="n">
        <v>0</v>
      </c>
      <c r="Q466" t="n">
        <v>0</v>
      </c>
      <c r="R466" s="2" t="inlineStr"/>
    </row>
    <row r="467" ht="15" customHeight="1">
      <c r="A467" t="inlineStr">
        <is>
          <t>A 16258-2022</t>
        </is>
      </c>
      <c r="B467" s="1" t="n">
        <v>44670</v>
      </c>
      <c r="C467" s="1" t="n">
        <v>46089</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7634-2024</t>
        </is>
      </c>
      <c r="B468" s="1" t="n">
        <v>45348</v>
      </c>
      <c r="C468" s="1" t="n">
        <v>46089</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58208-2024</t>
        </is>
      </c>
      <c r="B469" s="1" t="n">
        <v>45632</v>
      </c>
      <c r="C469" s="1" t="n">
        <v>46089</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63657-2025</t>
        </is>
      </c>
      <c r="B470" s="1" t="n">
        <v>46014.44479166667</v>
      </c>
      <c r="C470" s="1" t="n">
        <v>46089</v>
      </c>
      <c r="D470" t="inlineStr">
        <is>
          <t>ÖREBRO LÄN</t>
        </is>
      </c>
      <c r="E470" t="inlineStr">
        <is>
          <t>ÖREBRO</t>
        </is>
      </c>
      <c r="F470" t="inlineStr">
        <is>
          <t>Allmännings- och besparingsskogar</t>
        </is>
      </c>
      <c r="G470" t="n">
        <v>3.9</v>
      </c>
      <c r="H470" t="n">
        <v>0</v>
      </c>
      <c r="I470" t="n">
        <v>0</v>
      </c>
      <c r="J470" t="n">
        <v>0</v>
      </c>
      <c r="K470" t="n">
        <v>0</v>
      </c>
      <c r="L470" t="n">
        <v>0</v>
      </c>
      <c r="M470" t="n">
        <v>0</v>
      </c>
      <c r="N470" t="n">
        <v>0</v>
      </c>
      <c r="O470" t="n">
        <v>0</v>
      </c>
      <c r="P470" t="n">
        <v>0</v>
      </c>
      <c r="Q470" t="n">
        <v>0</v>
      </c>
      <c r="R470" s="2" t="inlineStr"/>
    </row>
    <row r="471" ht="15" customHeight="1">
      <c r="A471" t="inlineStr">
        <is>
          <t>A 63666-2025</t>
        </is>
      </c>
      <c r="B471" s="1" t="n">
        <v>46014.45650462963</v>
      </c>
      <c r="C471" s="1" t="n">
        <v>46089</v>
      </c>
      <c r="D471" t="inlineStr">
        <is>
          <t>ÖREBRO LÄN</t>
        </is>
      </c>
      <c r="E471" t="inlineStr">
        <is>
          <t>ÖREBRO</t>
        </is>
      </c>
      <c r="F471" t="inlineStr">
        <is>
          <t>Allmännings- och besparingsskogar</t>
        </is>
      </c>
      <c r="G471" t="n">
        <v>2.6</v>
      </c>
      <c r="H471" t="n">
        <v>0</v>
      </c>
      <c r="I471" t="n">
        <v>0</v>
      </c>
      <c r="J471" t="n">
        <v>0</v>
      </c>
      <c r="K471" t="n">
        <v>0</v>
      </c>
      <c r="L471" t="n">
        <v>0</v>
      </c>
      <c r="M471" t="n">
        <v>0</v>
      </c>
      <c r="N471" t="n">
        <v>0</v>
      </c>
      <c r="O471" t="n">
        <v>0</v>
      </c>
      <c r="P471" t="n">
        <v>0</v>
      </c>
      <c r="Q471" t="n">
        <v>0</v>
      </c>
      <c r="R471" s="2" t="inlineStr"/>
    </row>
    <row r="472" ht="15" customHeight="1">
      <c r="A472" t="inlineStr">
        <is>
          <t>A 63662-2025</t>
        </is>
      </c>
      <c r="B472" s="1" t="n">
        <v>46014.45055555556</v>
      </c>
      <c r="C472" s="1" t="n">
        <v>46089</v>
      </c>
      <c r="D472" t="inlineStr">
        <is>
          <t>ÖREBRO LÄN</t>
        </is>
      </c>
      <c r="E472" t="inlineStr">
        <is>
          <t>ÖREBRO</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71266-2021</t>
        </is>
      </c>
      <c r="B473" s="1" t="n">
        <v>44539</v>
      </c>
      <c r="C473" s="1" t="n">
        <v>46089</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71267-2021</t>
        </is>
      </c>
      <c r="B474" s="1" t="n">
        <v>44539</v>
      </c>
      <c r="C474" s="1" t="n">
        <v>46089</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71280-2021</t>
        </is>
      </c>
      <c r="B475" s="1" t="n">
        <v>44539</v>
      </c>
      <c r="C475" s="1" t="n">
        <v>46089</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21983-2021</t>
        </is>
      </c>
      <c r="B476" s="1" t="n">
        <v>44323</v>
      </c>
      <c r="C476" s="1" t="n">
        <v>46089</v>
      </c>
      <c r="D476" t="inlineStr">
        <is>
          <t>ÖREBRO LÄN</t>
        </is>
      </c>
      <c r="E476" t="inlineStr">
        <is>
          <t>ÖREBRO</t>
        </is>
      </c>
      <c r="F476" t="inlineStr">
        <is>
          <t>Övriga Aktiebolag</t>
        </is>
      </c>
      <c r="G476" t="n">
        <v>0.7</v>
      </c>
      <c r="H476" t="n">
        <v>0</v>
      </c>
      <c r="I476" t="n">
        <v>0</v>
      </c>
      <c r="J476" t="n">
        <v>0</v>
      </c>
      <c r="K476" t="n">
        <v>0</v>
      </c>
      <c r="L476" t="n">
        <v>0</v>
      </c>
      <c r="M476" t="n">
        <v>0</v>
      </c>
      <c r="N476" t="n">
        <v>0</v>
      </c>
      <c r="O476" t="n">
        <v>0</v>
      </c>
      <c r="P476" t="n">
        <v>0</v>
      </c>
      <c r="Q476" t="n">
        <v>0</v>
      </c>
      <c r="R476" s="2" t="inlineStr"/>
    </row>
    <row r="477" ht="15" customHeight="1">
      <c r="A477" t="inlineStr">
        <is>
          <t>A 62497-2023</t>
        </is>
      </c>
      <c r="B477" s="1" t="n">
        <v>45268.59935185185</v>
      </c>
      <c r="C477" s="1" t="n">
        <v>46089</v>
      </c>
      <c r="D477" t="inlineStr">
        <is>
          <t>ÖREBRO LÄN</t>
        </is>
      </c>
      <c r="E477" t="inlineStr">
        <is>
          <t>ÖREBRO</t>
        </is>
      </c>
      <c r="F477" t="inlineStr">
        <is>
          <t>Övriga Aktiebolag</t>
        </is>
      </c>
      <c r="G477" t="n">
        <v>3.2</v>
      </c>
      <c r="H477" t="n">
        <v>0</v>
      </c>
      <c r="I477" t="n">
        <v>0</v>
      </c>
      <c r="J477" t="n">
        <v>0</v>
      </c>
      <c r="K477" t="n">
        <v>0</v>
      </c>
      <c r="L477" t="n">
        <v>0</v>
      </c>
      <c r="M477" t="n">
        <v>0</v>
      </c>
      <c r="N477" t="n">
        <v>0</v>
      </c>
      <c r="O477" t="n">
        <v>0</v>
      </c>
      <c r="P477" t="n">
        <v>0</v>
      </c>
      <c r="Q477" t="n">
        <v>0</v>
      </c>
      <c r="R477" s="2" t="inlineStr"/>
    </row>
    <row r="478" ht="15" customHeight="1">
      <c r="A478" t="inlineStr">
        <is>
          <t>A 33294-2023</t>
        </is>
      </c>
      <c r="B478" s="1" t="n">
        <v>45127</v>
      </c>
      <c r="C478" s="1" t="n">
        <v>46089</v>
      </c>
      <c r="D478" t="inlineStr">
        <is>
          <t>ÖREBRO LÄN</t>
        </is>
      </c>
      <c r="E478" t="inlineStr">
        <is>
          <t>ÖREBRO</t>
        </is>
      </c>
      <c r="F478" t="inlineStr">
        <is>
          <t>Övriga Aktiebolag</t>
        </is>
      </c>
      <c r="G478" t="n">
        <v>6.7</v>
      </c>
      <c r="H478" t="n">
        <v>0</v>
      </c>
      <c r="I478" t="n">
        <v>0</v>
      </c>
      <c r="J478" t="n">
        <v>0</v>
      </c>
      <c r="K478" t="n">
        <v>0</v>
      </c>
      <c r="L478" t="n">
        <v>0</v>
      </c>
      <c r="M478" t="n">
        <v>0</v>
      </c>
      <c r="N478" t="n">
        <v>0</v>
      </c>
      <c r="O478" t="n">
        <v>0</v>
      </c>
      <c r="P478" t="n">
        <v>0</v>
      </c>
      <c r="Q478" t="n">
        <v>0</v>
      </c>
      <c r="R478" s="2" t="inlineStr"/>
    </row>
    <row r="479" ht="15" customHeight="1">
      <c r="A479" t="inlineStr">
        <is>
          <t>A 46052-2024</t>
        </is>
      </c>
      <c r="B479" s="1" t="n">
        <v>45580.89116898148</v>
      </c>
      <c r="C479" s="1" t="n">
        <v>46089</v>
      </c>
      <c r="D479" t="inlineStr">
        <is>
          <t>ÖREBRO LÄN</t>
        </is>
      </c>
      <c r="E479" t="inlineStr">
        <is>
          <t>ÖREBRO</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54149-2024</t>
        </is>
      </c>
      <c r="B480" s="1" t="n">
        <v>45616</v>
      </c>
      <c r="C480" s="1" t="n">
        <v>46089</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12871-2021</t>
        </is>
      </c>
      <c r="B481" s="1" t="n">
        <v>44271.42121527778</v>
      </c>
      <c r="C481" s="1" t="n">
        <v>46089</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46089</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15682-2023</t>
        </is>
      </c>
      <c r="B483" s="1" t="n">
        <v>45021</v>
      </c>
      <c r="C483" s="1" t="n">
        <v>46089</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12682-2023</t>
        </is>
      </c>
      <c r="B484" s="1" t="n">
        <v>45000.6115625</v>
      </c>
      <c r="C484" s="1" t="n">
        <v>46089</v>
      </c>
      <c r="D484" t="inlineStr">
        <is>
          <t>ÖREBRO LÄN</t>
        </is>
      </c>
      <c r="E484" t="inlineStr">
        <is>
          <t>ÖREBRO</t>
        </is>
      </c>
      <c r="F484" t="inlineStr">
        <is>
          <t>Övriga Aktiebolag</t>
        </is>
      </c>
      <c r="G484" t="n">
        <v>4.4</v>
      </c>
      <c r="H484" t="n">
        <v>0</v>
      </c>
      <c r="I484" t="n">
        <v>0</v>
      </c>
      <c r="J484" t="n">
        <v>0</v>
      </c>
      <c r="K484" t="n">
        <v>0</v>
      </c>
      <c r="L484" t="n">
        <v>0</v>
      </c>
      <c r="M484" t="n">
        <v>0</v>
      </c>
      <c r="N484" t="n">
        <v>0</v>
      </c>
      <c r="O484" t="n">
        <v>0</v>
      </c>
      <c r="P484" t="n">
        <v>0</v>
      </c>
      <c r="Q484" t="n">
        <v>0</v>
      </c>
      <c r="R484" s="2" t="inlineStr"/>
    </row>
    <row r="485" ht="15" customHeight="1">
      <c r="A485" t="inlineStr">
        <is>
          <t>A 57247-2022</t>
        </is>
      </c>
      <c r="B485" s="1" t="n">
        <v>44895.73065972222</v>
      </c>
      <c r="C485" s="1" t="n">
        <v>46089</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58606-2024</t>
        </is>
      </c>
      <c r="B486" s="1" t="n">
        <v>45635.54747685185</v>
      </c>
      <c r="C486" s="1" t="n">
        <v>46089</v>
      </c>
      <c r="D486" t="inlineStr">
        <is>
          <t>ÖREBRO LÄN</t>
        </is>
      </c>
      <c r="E486" t="inlineStr">
        <is>
          <t>ÖREBRO</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123-2025</t>
        </is>
      </c>
      <c r="B487" s="1" t="n">
        <v>45659.54851851852</v>
      </c>
      <c r="C487" s="1" t="n">
        <v>46089</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37012-2024</t>
        </is>
      </c>
      <c r="B488" s="1" t="n">
        <v>45539</v>
      </c>
      <c r="C488" s="1" t="n">
        <v>46089</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37020-2024</t>
        </is>
      </c>
      <c r="B489" s="1" t="n">
        <v>45539.38059027777</v>
      </c>
      <c r="C489" s="1" t="n">
        <v>46089</v>
      </c>
      <c r="D489" t="inlineStr">
        <is>
          <t>ÖREBRO LÄN</t>
        </is>
      </c>
      <c r="E489" t="inlineStr">
        <is>
          <t>ÖREBRO</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46089</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5338-2024</t>
        </is>
      </c>
      <c r="B491" s="1" t="n">
        <v>45331</v>
      </c>
      <c r="C491" s="1" t="n">
        <v>46089</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46089</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13657-2025</t>
        </is>
      </c>
      <c r="B493" s="1" t="n">
        <v>45736.7427662037</v>
      </c>
      <c r="C493" s="1" t="n">
        <v>46089</v>
      </c>
      <c r="D493" t="inlineStr">
        <is>
          <t>ÖREBRO LÄN</t>
        </is>
      </c>
      <c r="E493" t="inlineStr">
        <is>
          <t>ÖREBRO</t>
        </is>
      </c>
      <c r="G493" t="n">
        <v>3.8</v>
      </c>
      <c r="H493" t="n">
        <v>0</v>
      </c>
      <c r="I493" t="n">
        <v>0</v>
      </c>
      <c r="J493" t="n">
        <v>0</v>
      </c>
      <c r="K493" t="n">
        <v>0</v>
      </c>
      <c r="L493" t="n">
        <v>0</v>
      </c>
      <c r="M493" t="n">
        <v>0</v>
      </c>
      <c r="N493" t="n">
        <v>0</v>
      </c>
      <c r="O493" t="n">
        <v>0</v>
      </c>
      <c r="P493" t="n">
        <v>0</v>
      </c>
      <c r="Q493" t="n">
        <v>0</v>
      </c>
      <c r="R493" s="2" t="inlineStr"/>
    </row>
    <row r="494" ht="15" customHeight="1">
      <c r="A494" t="inlineStr">
        <is>
          <t>A 9314-2023</t>
        </is>
      </c>
      <c r="B494" s="1" t="n">
        <v>44980.67747685185</v>
      </c>
      <c r="C494" s="1" t="n">
        <v>46089</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6522-2023</t>
        </is>
      </c>
      <c r="B495" s="1" t="n">
        <v>44966</v>
      </c>
      <c r="C495" s="1" t="n">
        <v>46089</v>
      </c>
      <c r="D495" t="inlineStr">
        <is>
          <t>ÖREBRO LÄN</t>
        </is>
      </c>
      <c r="E495" t="inlineStr">
        <is>
          <t>ÖREBRO</t>
        </is>
      </c>
      <c r="G495" t="n">
        <v>4.4</v>
      </c>
      <c r="H495" t="n">
        <v>0</v>
      </c>
      <c r="I495" t="n">
        <v>0</v>
      </c>
      <c r="J495" t="n">
        <v>0</v>
      </c>
      <c r="K495" t="n">
        <v>0</v>
      </c>
      <c r="L495" t="n">
        <v>0</v>
      </c>
      <c r="M495" t="n">
        <v>0</v>
      </c>
      <c r="N495" t="n">
        <v>0</v>
      </c>
      <c r="O495" t="n">
        <v>0</v>
      </c>
      <c r="P495" t="n">
        <v>0</v>
      </c>
      <c r="Q495" t="n">
        <v>0</v>
      </c>
      <c r="R495" s="2" t="inlineStr"/>
    </row>
    <row r="496" ht="15" customHeight="1">
      <c r="A496" t="inlineStr">
        <is>
          <t>A 18449-2023</t>
        </is>
      </c>
      <c r="B496" s="1" t="n">
        <v>45042.5203125</v>
      </c>
      <c r="C496" s="1" t="n">
        <v>46089</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16736-2023</t>
        </is>
      </c>
      <c r="B497" s="1" t="n">
        <v>45030.72328703704</v>
      </c>
      <c r="C497" s="1" t="n">
        <v>46089</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50375-2024</t>
        </is>
      </c>
      <c r="B498" s="1" t="n">
        <v>45601.29311342593</v>
      </c>
      <c r="C498" s="1" t="n">
        <v>46089</v>
      </c>
      <c r="D498" t="inlineStr">
        <is>
          <t>ÖREBRO LÄN</t>
        </is>
      </c>
      <c r="E498" t="inlineStr">
        <is>
          <t>ÖREBRO</t>
        </is>
      </c>
      <c r="G498" t="n">
        <v>5</v>
      </c>
      <c r="H498" t="n">
        <v>0</v>
      </c>
      <c r="I498" t="n">
        <v>0</v>
      </c>
      <c r="J498" t="n">
        <v>0</v>
      </c>
      <c r="K498" t="n">
        <v>0</v>
      </c>
      <c r="L498" t="n">
        <v>0</v>
      </c>
      <c r="M498" t="n">
        <v>0</v>
      </c>
      <c r="N498" t="n">
        <v>0</v>
      </c>
      <c r="O498" t="n">
        <v>0</v>
      </c>
      <c r="P498" t="n">
        <v>0</v>
      </c>
      <c r="Q498" t="n">
        <v>0</v>
      </c>
      <c r="R498" s="2" t="inlineStr"/>
    </row>
    <row r="499" ht="15" customHeight="1">
      <c r="A499" t="inlineStr">
        <is>
          <t>A 22045-2024</t>
        </is>
      </c>
      <c r="B499" s="1" t="n">
        <v>45443.61171296296</v>
      </c>
      <c r="C499" s="1" t="n">
        <v>46089</v>
      </c>
      <c r="D499" t="inlineStr">
        <is>
          <t>ÖREBRO LÄN</t>
        </is>
      </c>
      <c r="E499" t="inlineStr">
        <is>
          <t>ÖREBRO</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3-2024</t>
        </is>
      </c>
      <c r="B500" s="1" t="n">
        <v>45292</v>
      </c>
      <c r="C500" s="1" t="n">
        <v>46089</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21306-2024</t>
        </is>
      </c>
      <c r="B501" s="1" t="n">
        <v>45440.67883101852</v>
      </c>
      <c r="C501" s="1" t="n">
        <v>46089</v>
      </c>
      <c r="D501" t="inlineStr">
        <is>
          <t>ÖREBRO LÄN</t>
        </is>
      </c>
      <c r="E501" t="inlineStr">
        <is>
          <t>ÖREBRO</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1257-2022</t>
        </is>
      </c>
      <c r="B502" s="1" t="n">
        <v>44572</v>
      </c>
      <c r="C502" s="1" t="n">
        <v>46089</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64730-2023</t>
        </is>
      </c>
      <c r="B503" s="1" t="n">
        <v>45281</v>
      </c>
      <c r="C503" s="1" t="n">
        <v>46089</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6869-2025</t>
        </is>
      </c>
      <c r="B504" s="1" t="n">
        <v>45700</v>
      </c>
      <c r="C504" s="1" t="n">
        <v>46089</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4416-2023</t>
        </is>
      </c>
      <c r="B505" s="1" t="n">
        <v>44956</v>
      </c>
      <c r="C505" s="1" t="n">
        <v>46089</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16961-2022</t>
        </is>
      </c>
      <c r="B506" s="1" t="n">
        <v>44676</v>
      </c>
      <c r="C506" s="1" t="n">
        <v>46089</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17983-2025</t>
        </is>
      </c>
      <c r="B507" s="1" t="n">
        <v>45761.38829861111</v>
      </c>
      <c r="C507" s="1" t="n">
        <v>46089</v>
      </c>
      <c r="D507" t="inlineStr">
        <is>
          <t>ÖREBRO LÄN</t>
        </is>
      </c>
      <c r="E507" t="inlineStr">
        <is>
          <t>ÖREBRO</t>
        </is>
      </c>
      <c r="G507" t="n">
        <v>0.8</v>
      </c>
      <c r="H507" t="n">
        <v>0</v>
      </c>
      <c r="I507" t="n">
        <v>0</v>
      </c>
      <c r="J507" t="n">
        <v>0</v>
      </c>
      <c r="K507" t="n">
        <v>0</v>
      </c>
      <c r="L507" t="n">
        <v>0</v>
      </c>
      <c r="M507" t="n">
        <v>0</v>
      </c>
      <c r="N507" t="n">
        <v>0</v>
      </c>
      <c r="O507" t="n">
        <v>0</v>
      </c>
      <c r="P507" t="n">
        <v>0</v>
      </c>
      <c r="Q507" t="n">
        <v>0</v>
      </c>
      <c r="R507" s="2" t="inlineStr"/>
    </row>
    <row r="508" ht="15" customHeight="1">
      <c r="A508" t="inlineStr">
        <is>
          <t>A 23594-2023</t>
        </is>
      </c>
      <c r="B508" s="1" t="n">
        <v>45077</v>
      </c>
      <c r="C508" s="1" t="n">
        <v>46089</v>
      </c>
      <c r="D508" t="inlineStr">
        <is>
          <t>ÖREBRO LÄN</t>
        </is>
      </c>
      <c r="E508" t="inlineStr">
        <is>
          <t>ÖREBRO</t>
        </is>
      </c>
      <c r="G508" t="n">
        <v>9.9</v>
      </c>
      <c r="H508" t="n">
        <v>0</v>
      </c>
      <c r="I508" t="n">
        <v>0</v>
      </c>
      <c r="J508" t="n">
        <v>0</v>
      </c>
      <c r="K508" t="n">
        <v>0</v>
      </c>
      <c r="L508" t="n">
        <v>0</v>
      </c>
      <c r="M508" t="n">
        <v>0</v>
      </c>
      <c r="N508" t="n">
        <v>0</v>
      </c>
      <c r="O508" t="n">
        <v>0</v>
      </c>
      <c r="P508" t="n">
        <v>0</v>
      </c>
      <c r="Q508" t="n">
        <v>0</v>
      </c>
      <c r="R508" s="2" t="inlineStr"/>
    </row>
    <row r="509" ht="15" customHeight="1">
      <c r="A509" t="inlineStr">
        <is>
          <t>A 52444-2024</t>
        </is>
      </c>
      <c r="B509" s="1" t="n">
        <v>45609.48894675926</v>
      </c>
      <c r="C509" s="1" t="n">
        <v>46089</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41995-2024</t>
        </is>
      </c>
      <c r="B510" s="1" t="n">
        <v>45561.6475462963</v>
      </c>
      <c r="C510" s="1" t="n">
        <v>46089</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25996-2024</t>
        </is>
      </c>
      <c r="B511" s="1" t="n">
        <v>45467.89081018518</v>
      </c>
      <c r="C511" s="1" t="n">
        <v>46089</v>
      </c>
      <c r="D511" t="inlineStr">
        <is>
          <t>ÖREBRO LÄN</t>
        </is>
      </c>
      <c r="E511" t="inlineStr">
        <is>
          <t>ÖREBRO</t>
        </is>
      </c>
      <c r="G511" t="n">
        <v>4.7</v>
      </c>
      <c r="H511" t="n">
        <v>0</v>
      </c>
      <c r="I511" t="n">
        <v>0</v>
      </c>
      <c r="J511" t="n">
        <v>0</v>
      </c>
      <c r="K511" t="n">
        <v>0</v>
      </c>
      <c r="L511" t="n">
        <v>0</v>
      </c>
      <c r="M511" t="n">
        <v>0</v>
      </c>
      <c r="N511" t="n">
        <v>0</v>
      </c>
      <c r="O511" t="n">
        <v>0</v>
      </c>
      <c r="P511" t="n">
        <v>0</v>
      </c>
      <c r="Q511" t="n">
        <v>0</v>
      </c>
      <c r="R511" s="2" t="inlineStr"/>
    </row>
    <row r="512" ht="15" customHeight="1">
      <c r="A512" t="inlineStr">
        <is>
          <t>A 7611-2024</t>
        </is>
      </c>
      <c r="B512" s="1" t="n">
        <v>45348.58864583333</v>
      </c>
      <c r="C512" s="1" t="n">
        <v>46089</v>
      </c>
      <c r="D512" t="inlineStr">
        <is>
          <t>ÖREBRO LÄN</t>
        </is>
      </c>
      <c r="E512" t="inlineStr">
        <is>
          <t>ÖREBRO</t>
        </is>
      </c>
      <c r="G512" t="n">
        <v>4.2</v>
      </c>
      <c r="H512" t="n">
        <v>0</v>
      </c>
      <c r="I512" t="n">
        <v>0</v>
      </c>
      <c r="J512" t="n">
        <v>0</v>
      </c>
      <c r="K512" t="n">
        <v>0</v>
      </c>
      <c r="L512" t="n">
        <v>0</v>
      </c>
      <c r="M512" t="n">
        <v>0</v>
      </c>
      <c r="N512" t="n">
        <v>0</v>
      </c>
      <c r="O512" t="n">
        <v>0</v>
      </c>
      <c r="P512" t="n">
        <v>0</v>
      </c>
      <c r="Q512" t="n">
        <v>0</v>
      </c>
      <c r="R512" s="2" t="inlineStr"/>
    </row>
    <row r="513" ht="15" customHeight="1">
      <c r="A513" t="inlineStr">
        <is>
          <t>A 15789-2023</t>
        </is>
      </c>
      <c r="B513" s="1" t="n">
        <v>45021.71539351852</v>
      </c>
      <c r="C513" s="1" t="n">
        <v>46089</v>
      </c>
      <c r="D513" t="inlineStr">
        <is>
          <t>ÖREBRO LÄN</t>
        </is>
      </c>
      <c r="E513" t="inlineStr">
        <is>
          <t>ÖREBRO</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52612-2024</t>
        </is>
      </c>
      <c r="B514" s="1" t="n">
        <v>45609</v>
      </c>
      <c r="C514" s="1" t="n">
        <v>46089</v>
      </c>
      <c r="D514" t="inlineStr">
        <is>
          <t>ÖREBRO LÄN</t>
        </is>
      </c>
      <c r="E514" t="inlineStr">
        <is>
          <t>ÖREBRO</t>
        </is>
      </c>
      <c r="F514" t="inlineStr">
        <is>
          <t>Kommuner</t>
        </is>
      </c>
      <c r="G514" t="n">
        <v>5.5</v>
      </c>
      <c r="H514" t="n">
        <v>0</v>
      </c>
      <c r="I514" t="n">
        <v>0</v>
      </c>
      <c r="J514" t="n">
        <v>0</v>
      </c>
      <c r="K514" t="n">
        <v>0</v>
      </c>
      <c r="L514" t="n">
        <v>0</v>
      </c>
      <c r="M514" t="n">
        <v>0</v>
      </c>
      <c r="N514" t="n">
        <v>0</v>
      </c>
      <c r="O514" t="n">
        <v>0</v>
      </c>
      <c r="P514" t="n">
        <v>0</v>
      </c>
      <c r="Q514" t="n">
        <v>0</v>
      </c>
      <c r="R514" s="2" t="inlineStr"/>
    </row>
    <row r="515" ht="15" customHeight="1">
      <c r="A515" t="inlineStr">
        <is>
          <t>A 37786-2024</t>
        </is>
      </c>
      <c r="B515" s="1" t="n">
        <v>45542.82987268519</v>
      </c>
      <c r="C515" s="1" t="n">
        <v>46089</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55875-2024</t>
        </is>
      </c>
      <c r="B516" s="1" t="n">
        <v>45623.55375</v>
      </c>
      <c r="C516" s="1" t="n">
        <v>46089</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3841-2023</t>
        </is>
      </c>
      <c r="B517" s="1" t="n">
        <v>44951</v>
      </c>
      <c r="C517" s="1" t="n">
        <v>46089</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49215-2023</t>
        </is>
      </c>
      <c r="B518" s="1" t="n">
        <v>45210.61050925926</v>
      </c>
      <c r="C518" s="1" t="n">
        <v>46089</v>
      </c>
      <c r="D518" t="inlineStr">
        <is>
          <t>ÖREBRO LÄN</t>
        </is>
      </c>
      <c r="E518" t="inlineStr">
        <is>
          <t>ÖREBRO</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43399-2022</t>
        </is>
      </c>
      <c r="B519" s="1" t="n">
        <v>44834</v>
      </c>
      <c r="C519" s="1" t="n">
        <v>46089</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19553-2023</t>
        </is>
      </c>
      <c r="B520" s="1" t="n">
        <v>45050</v>
      </c>
      <c r="C520" s="1" t="n">
        <v>46089</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14291-2023</t>
        </is>
      </c>
      <c r="B521" s="1" t="n">
        <v>45010</v>
      </c>
      <c r="C521" s="1" t="n">
        <v>46089</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58527-2024</t>
        </is>
      </c>
      <c r="B522" s="1" t="n">
        <v>45635.44388888889</v>
      </c>
      <c r="C522" s="1" t="n">
        <v>46089</v>
      </c>
      <c r="D522" t="inlineStr">
        <is>
          <t>ÖREBRO LÄN</t>
        </is>
      </c>
      <c r="E522" t="inlineStr">
        <is>
          <t>ÖREBRO</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55593-2022</t>
        </is>
      </c>
      <c r="B523" s="1" t="n">
        <v>44888</v>
      </c>
      <c r="C523" s="1" t="n">
        <v>46089</v>
      </c>
      <c r="D523" t="inlineStr">
        <is>
          <t>ÖREBRO LÄN</t>
        </is>
      </c>
      <c r="E523" t="inlineStr">
        <is>
          <t>ÖREBRO</t>
        </is>
      </c>
      <c r="G523" t="n">
        <v>3.6</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46089</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23741-2022</t>
        </is>
      </c>
      <c r="B525" s="1" t="n">
        <v>44722</v>
      </c>
      <c r="C525" s="1" t="n">
        <v>46089</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59121-2024</t>
        </is>
      </c>
      <c r="B526" s="1" t="n">
        <v>45637.37755787037</v>
      </c>
      <c r="C526" s="1" t="n">
        <v>46089</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9704-2023</t>
        </is>
      </c>
      <c r="B527" s="1" t="n">
        <v>44984</v>
      </c>
      <c r="C527" s="1" t="n">
        <v>46089</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12099-2023</t>
        </is>
      </c>
      <c r="B528" s="1" t="n">
        <v>44998.37043981482</v>
      </c>
      <c r="C528" s="1" t="n">
        <v>46089</v>
      </c>
      <c r="D528" t="inlineStr">
        <is>
          <t>ÖREBRO LÄN</t>
        </is>
      </c>
      <c r="E528" t="inlineStr">
        <is>
          <t>ÖREBRO</t>
        </is>
      </c>
      <c r="G528" t="n">
        <v>0.9</v>
      </c>
      <c r="H528" t="n">
        <v>0</v>
      </c>
      <c r="I528" t="n">
        <v>0</v>
      </c>
      <c r="J528" t="n">
        <v>0</v>
      </c>
      <c r="K528" t="n">
        <v>0</v>
      </c>
      <c r="L528" t="n">
        <v>0</v>
      </c>
      <c r="M528" t="n">
        <v>0</v>
      </c>
      <c r="N528" t="n">
        <v>0</v>
      </c>
      <c r="O528" t="n">
        <v>0</v>
      </c>
      <c r="P528" t="n">
        <v>0</v>
      </c>
      <c r="Q528" t="n">
        <v>0</v>
      </c>
      <c r="R528" s="2" t="inlineStr"/>
    </row>
    <row r="529" ht="15" customHeight="1">
      <c r="A529" t="inlineStr">
        <is>
          <t>A 17869-2024</t>
        </is>
      </c>
      <c r="B529" s="1" t="n">
        <v>45419</v>
      </c>
      <c r="C529" s="1" t="n">
        <v>46089</v>
      </c>
      <c r="D529" t="inlineStr">
        <is>
          <t>ÖREBRO LÄN</t>
        </is>
      </c>
      <c r="E529" t="inlineStr">
        <is>
          <t>ÖREBRO</t>
        </is>
      </c>
      <c r="G529" t="n">
        <v>3.7</v>
      </c>
      <c r="H529" t="n">
        <v>0</v>
      </c>
      <c r="I529" t="n">
        <v>0</v>
      </c>
      <c r="J529" t="n">
        <v>0</v>
      </c>
      <c r="K529" t="n">
        <v>0</v>
      </c>
      <c r="L529" t="n">
        <v>0</v>
      </c>
      <c r="M529" t="n">
        <v>0</v>
      </c>
      <c r="N529" t="n">
        <v>0</v>
      </c>
      <c r="O529" t="n">
        <v>0</v>
      </c>
      <c r="P529" t="n">
        <v>0</v>
      </c>
      <c r="Q529" t="n">
        <v>0</v>
      </c>
      <c r="R529" s="2" t="inlineStr"/>
    </row>
    <row r="530" ht="15" customHeight="1">
      <c r="A530" t="inlineStr">
        <is>
          <t>A 5026-2022</t>
        </is>
      </c>
      <c r="B530" s="1" t="n">
        <v>44593.63974537037</v>
      </c>
      <c r="C530" s="1" t="n">
        <v>46089</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10832-2023</t>
        </is>
      </c>
      <c r="B531" s="1" t="n">
        <v>44990.91711805556</v>
      </c>
      <c r="C531" s="1" t="n">
        <v>46089</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48581-2024</t>
        </is>
      </c>
      <c r="B532" s="1" t="n">
        <v>45593.41642361111</v>
      </c>
      <c r="C532" s="1" t="n">
        <v>46089</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40231-2022</t>
        </is>
      </c>
      <c r="B533" s="1" t="n">
        <v>44820</v>
      </c>
      <c r="C533" s="1" t="n">
        <v>46089</v>
      </c>
      <c r="D533" t="inlineStr">
        <is>
          <t>ÖREBRO LÄN</t>
        </is>
      </c>
      <c r="E533" t="inlineStr">
        <is>
          <t>ÖREBRO</t>
        </is>
      </c>
      <c r="F533" t="inlineStr">
        <is>
          <t>Allmännings- och besparingsskogar</t>
        </is>
      </c>
      <c r="G533" t="n">
        <v>2.2</v>
      </c>
      <c r="H533" t="n">
        <v>0</v>
      </c>
      <c r="I533" t="n">
        <v>0</v>
      </c>
      <c r="J533" t="n">
        <v>0</v>
      </c>
      <c r="K533" t="n">
        <v>0</v>
      </c>
      <c r="L533" t="n">
        <v>0</v>
      </c>
      <c r="M533" t="n">
        <v>0</v>
      </c>
      <c r="N533" t="n">
        <v>0</v>
      </c>
      <c r="O533" t="n">
        <v>0</v>
      </c>
      <c r="P533" t="n">
        <v>0</v>
      </c>
      <c r="Q533" t="n">
        <v>0</v>
      </c>
      <c r="R533" s="2" t="inlineStr"/>
    </row>
    <row r="534" ht="15" customHeight="1">
      <c r="A534" t="inlineStr">
        <is>
          <t>A 14963-2025</t>
        </is>
      </c>
      <c r="B534" s="1" t="n">
        <v>45743.58699074074</v>
      </c>
      <c r="C534" s="1" t="n">
        <v>46089</v>
      </c>
      <c r="D534" t="inlineStr">
        <is>
          <t>ÖREBRO LÄN</t>
        </is>
      </c>
      <c r="E534" t="inlineStr">
        <is>
          <t>ÖREBRO</t>
        </is>
      </c>
      <c r="G534" t="n">
        <v>9.1</v>
      </c>
      <c r="H534" t="n">
        <v>0</v>
      </c>
      <c r="I534" t="n">
        <v>0</v>
      </c>
      <c r="J534" t="n">
        <v>0</v>
      </c>
      <c r="K534" t="n">
        <v>0</v>
      </c>
      <c r="L534" t="n">
        <v>0</v>
      </c>
      <c r="M534" t="n">
        <v>0</v>
      </c>
      <c r="N534" t="n">
        <v>0</v>
      </c>
      <c r="O534" t="n">
        <v>0</v>
      </c>
      <c r="P534" t="n">
        <v>0</v>
      </c>
      <c r="Q534" t="n">
        <v>0</v>
      </c>
      <c r="R534" s="2" t="inlineStr"/>
    </row>
    <row r="535" ht="15" customHeight="1">
      <c r="A535" t="inlineStr">
        <is>
          <t>A 33455-2023</t>
        </is>
      </c>
      <c r="B535" s="1" t="n">
        <v>45130.98962962963</v>
      </c>
      <c r="C535" s="1" t="n">
        <v>46089</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2069-2025</t>
        </is>
      </c>
      <c r="B536" s="1" t="n">
        <v>45672.56614583333</v>
      </c>
      <c r="C536" s="1" t="n">
        <v>46089</v>
      </c>
      <c r="D536" t="inlineStr">
        <is>
          <t>ÖREBRO LÄN</t>
        </is>
      </c>
      <c r="E536" t="inlineStr">
        <is>
          <t>ÖREBRO</t>
        </is>
      </c>
      <c r="G536" t="n">
        <v>3.8</v>
      </c>
      <c r="H536" t="n">
        <v>0</v>
      </c>
      <c r="I536" t="n">
        <v>0</v>
      </c>
      <c r="J536" t="n">
        <v>0</v>
      </c>
      <c r="K536" t="n">
        <v>0</v>
      </c>
      <c r="L536" t="n">
        <v>0</v>
      </c>
      <c r="M536" t="n">
        <v>0</v>
      </c>
      <c r="N536" t="n">
        <v>0</v>
      </c>
      <c r="O536" t="n">
        <v>0</v>
      </c>
      <c r="P536" t="n">
        <v>0</v>
      </c>
      <c r="Q536" t="n">
        <v>0</v>
      </c>
      <c r="R536" s="2" t="inlineStr"/>
    </row>
    <row r="537" ht="15" customHeight="1">
      <c r="A537" t="inlineStr">
        <is>
          <t>A 58277-2022</t>
        </is>
      </c>
      <c r="B537" s="1" t="n">
        <v>44901.48108796297</v>
      </c>
      <c r="C537" s="1" t="n">
        <v>46089</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42518-2021</t>
        </is>
      </c>
      <c r="B538" s="1" t="n">
        <v>44427.81496527778</v>
      </c>
      <c r="C538" s="1" t="n">
        <v>46089</v>
      </c>
      <c r="D538" t="inlineStr">
        <is>
          <t>ÖREBRO LÄN</t>
        </is>
      </c>
      <c r="E538" t="inlineStr">
        <is>
          <t>ÖREBRO</t>
        </is>
      </c>
      <c r="G538" t="n">
        <v>4.5</v>
      </c>
      <c r="H538" t="n">
        <v>0</v>
      </c>
      <c r="I538" t="n">
        <v>0</v>
      </c>
      <c r="J538" t="n">
        <v>0</v>
      </c>
      <c r="K538" t="n">
        <v>0</v>
      </c>
      <c r="L538" t="n">
        <v>0</v>
      </c>
      <c r="M538" t="n">
        <v>0</v>
      </c>
      <c r="N538" t="n">
        <v>0</v>
      </c>
      <c r="O538" t="n">
        <v>0</v>
      </c>
      <c r="P538" t="n">
        <v>0</v>
      </c>
      <c r="Q538" t="n">
        <v>0</v>
      </c>
      <c r="R538" s="2" t="inlineStr"/>
    </row>
    <row r="539" ht="15" customHeight="1">
      <c r="A539" t="inlineStr">
        <is>
          <t>A 14524-2025</t>
        </is>
      </c>
      <c r="B539" s="1" t="n">
        <v>45741.64815972222</v>
      </c>
      <c r="C539" s="1" t="n">
        <v>46089</v>
      </c>
      <c r="D539" t="inlineStr">
        <is>
          <t>ÖREBRO LÄN</t>
        </is>
      </c>
      <c r="E539" t="inlineStr">
        <is>
          <t>ÖREBRO</t>
        </is>
      </c>
      <c r="G539" t="n">
        <v>2.8</v>
      </c>
      <c r="H539" t="n">
        <v>0</v>
      </c>
      <c r="I539" t="n">
        <v>0</v>
      </c>
      <c r="J539" t="n">
        <v>0</v>
      </c>
      <c r="K539" t="n">
        <v>0</v>
      </c>
      <c r="L539" t="n">
        <v>0</v>
      </c>
      <c r="M539" t="n">
        <v>0</v>
      </c>
      <c r="N539" t="n">
        <v>0</v>
      </c>
      <c r="O539" t="n">
        <v>0</v>
      </c>
      <c r="P539" t="n">
        <v>0</v>
      </c>
      <c r="Q539" t="n">
        <v>0</v>
      </c>
      <c r="R539" s="2" t="inlineStr"/>
    </row>
    <row r="540" ht="15" customHeight="1">
      <c r="A540" t="inlineStr">
        <is>
          <t>A 15354-2024</t>
        </is>
      </c>
      <c r="B540" s="1" t="n">
        <v>45400.85319444445</v>
      </c>
      <c r="C540" s="1" t="n">
        <v>46089</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41543-2024</t>
        </is>
      </c>
      <c r="B541" s="1" t="n">
        <v>45560</v>
      </c>
      <c r="C541" s="1" t="n">
        <v>46089</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71275-2021</t>
        </is>
      </c>
      <c r="B542" s="1" t="n">
        <v>44539</v>
      </c>
      <c r="C542" s="1" t="n">
        <v>46089</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71285-2021</t>
        </is>
      </c>
      <c r="B543" s="1" t="n">
        <v>44539.62236111111</v>
      </c>
      <c r="C543" s="1" t="n">
        <v>46089</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2658-2023</t>
        </is>
      </c>
      <c r="B544" s="1" t="n">
        <v>44944</v>
      </c>
      <c r="C544" s="1" t="n">
        <v>46089</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11382-2023</t>
        </is>
      </c>
      <c r="B545" s="1" t="n">
        <v>44993.45635416666</v>
      </c>
      <c r="C545" s="1" t="n">
        <v>46089</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52016-2024</t>
        </is>
      </c>
      <c r="B546" s="1" t="n">
        <v>45607.81917824074</v>
      </c>
      <c r="C546" s="1" t="n">
        <v>46089</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27112-2023</t>
        </is>
      </c>
      <c r="B547" s="1" t="n">
        <v>45096</v>
      </c>
      <c r="C547" s="1" t="n">
        <v>46089</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16739-2022</t>
        </is>
      </c>
      <c r="B548" s="1" t="n">
        <v>44673</v>
      </c>
      <c r="C548" s="1" t="n">
        <v>46089</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13592-2023</t>
        </is>
      </c>
      <c r="B549" s="1" t="n">
        <v>45006.56870370371</v>
      </c>
      <c r="C549" s="1" t="n">
        <v>46089</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40656-2023</t>
        </is>
      </c>
      <c r="B550" s="1" t="n">
        <v>45170</v>
      </c>
      <c r="C550" s="1" t="n">
        <v>46089</v>
      </c>
      <c r="D550" t="inlineStr">
        <is>
          <t>ÖREBRO LÄN</t>
        </is>
      </c>
      <c r="E550" t="inlineStr">
        <is>
          <t>ÖREBRO</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12245-2023</t>
        </is>
      </c>
      <c r="B551" s="1" t="n">
        <v>44998.64402777778</v>
      </c>
      <c r="C551" s="1" t="n">
        <v>46089</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8008-2024</t>
        </is>
      </c>
      <c r="B552" s="1" t="n">
        <v>45350.6794212963</v>
      </c>
      <c r="C552" s="1" t="n">
        <v>46089</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46834-2022</t>
        </is>
      </c>
      <c r="B553" s="1" t="n">
        <v>44851</v>
      </c>
      <c r="C553" s="1" t="n">
        <v>46089</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46089</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57869-2024</t>
        </is>
      </c>
      <c r="B555" s="1" t="n">
        <v>45631.44207175926</v>
      </c>
      <c r="C555" s="1" t="n">
        <v>46089</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11565-2023</t>
        </is>
      </c>
      <c r="B556" s="1" t="n">
        <v>44994</v>
      </c>
      <c r="C556" s="1" t="n">
        <v>46089</v>
      </c>
      <c r="D556" t="inlineStr">
        <is>
          <t>ÖREBRO LÄN</t>
        </is>
      </c>
      <c r="E556" t="inlineStr">
        <is>
          <t>ÖREBRO</t>
        </is>
      </c>
      <c r="G556" t="n">
        <v>4.7</v>
      </c>
      <c r="H556" t="n">
        <v>0</v>
      </c>
      <c r="I556" t="n">
        <v>0</v>
      </c>
      <c r="J556" t="n">
        <v>0</v>
      </c>
      <c r="K556" t="n">
        <v>0</v>
      </c>
      <c r="L556" t="n">
        <v>0</v>
      </c>
      <c r="M556" t="n">
        <v>0</v>
      </c>
      <c r="N556" t="n">
        <v>0</v>
      </c>
      <c r="O556" t="n">
        <v>0</v>
      </c>
      <c r="P556" t="n">
        <v>0</v>
      </c>
      <c r="Q556" t="n">
        <v>0</v>
      </c>
      <c r="R556" s="2" t="inlineStr"/>
    </row>
    <row r="557" ht="15" customHeight="1">
      <c r="A557" t="inlineStr">
        <is>
          <t>A 1647-2024</t>
        </is>
      </c>
      <c r="B557" s="1" t="n">
        <v>45306</v>
      </c>
      <c r="C557" s="1" t="n">
        <v>46089</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31906-2023</t>
        </is>
      </c>
      <c r="B558" s="1" t="n">
        <v>45118.8353125</v>
      </c>
      <c r="C558" s="1" t="n">
        <v>46089</v>
      </c>
      <c r="D558" t="inlineStr">
        <is>
          <t>ÖREBRO LÄN</t>
        </is>
      </c>
      <c r="E558" t="inlineStr">
        <is>
          <t>ÖREBRO</t>
        </is>
      </c>
      <c r="G558" t="n">
        <v>9</v>
      </c>
      <c r="H558" t="n">
        <v>0</v>
      </c>
      <c r="I558" t="n">
        <v>0</v>
      </c>
      <c r="J558" t="n">
        <v>0</v>
      </c>
      <c r="K558" t="n">
        <v>0</v>
      </c>
      <c r="L558" t="n">
        <v>0</v>
      </c>
      <c r="M558" t="n">
        <v>0</v>
      </c>
      <c r="N558" t="n">
        <v>0</v>
      </c>
      <c r="O558" t="n">
        <v>0</v>
      </c>
      <c r="P558" t="n">
        <v>0</v>
      </c>
      <c r="Q558" t="n">
        <v>0</v>
      </c>
      <c r="R558" s="2" t="inlineStr"/>
    </row>
    <row r="559" ht="15" customHeight="1">
      <c r="A559" t="inlineStr">
        <is>
          <t>A 31326-2024</t>
        </is>
      </c>
      <c r="B559" s="1" t="n">
        <v>45504.5934375</v>
      </c>
      <c r="C559" s="1" t="n">
        <v>46089</v>
      </c>
      <c r="D559" t="inlineStr">
        <is>
          <t>ÖREBRO LÄN</t>
        </is>
      </c>
      <c r="E559" t="inlineStr">
        <is>
          <t>ÖREBRO</t>
        </is>
      </c>
      <c r="G559" t="n">
        <v>6.4</v>
      </c>
      <c r="H559" t="n">
        <v>0</v>
      </c>
      <c r="I559" t="n">
        <v>0</v>
      </c>
      <c r="J559" t="n">
        <v>0</v>
      </c>
      <c r="K559" t="n">
        <v>0</v>
      </c>
      <c r="L559" t="n">
        <v>0</v>
      </c>
      <c r="M559" t="n">
        <v>0</v>
      </c>
      <c r="N559" t="n">
        <v>0</v>
      </c>
      <c r="O559" t="n">
        <v>0</v>
      </c>
      <c r="P559" t="n">
        <v>0</v>
      </c>
      <c r="Q559" t="n">
        <v>0</v>
      </c>
      <c r="R559" s="2" t="inlineStr"/>
    </row>
    <row r="560" ht="15" customHeight="1">
      <c r="A560" t="inlineStr">
        <is>
          <t>A 70719-2021</t>
        </is>
      </c>
      <c r="B560" s="1" t="n">
        <v>44537</v>
      </c>
      <c r="C560" s="1" t="n">
        <v>46089</v>
      </c>
      <c r="D560" t="inlineStr">
        <is>
          <t>ÖREBRO LÄN</t>
        </is>
      </c>
      <c r="E560" t="inlineStr">
        <is>
          <t>ÖREBRO</t>
        </is>
      </c>
      <c r="G560" t="n">
        <v>4.3</v>
      </c>
      <c r="H560" t="n">
        <v>0</v>
      </c>
      <c r="I560" t="n">
        <v>0</v>
      </c>
      <c r="J560" t="n">
        <v>0</v>
      </c>
      <c r="K560" t="n">
        <v>0</v>
      </c>
      <c r="L560" t="n">
        <v>0</v>
      </c>
      <c r="M560" t="n">
        <v>0</v>
      </c>
      <c r="N560" t="n">
        <v>0</v>
      </c>
      <c r="O560" t="n">
        <v>0</v>
      </c>
      <c r="P560" t="n">
        <v>0</v>
      </c>
      <c r="Q560" t="n">
        <v>0</v>
      </c>
      <c r="R560" s="2" t="inlineStr"/>
    </row>
    <row r="561" ht="15" customHeight="1">
      <c r="A561" t="inlineStr">
        <is>
          <t>A 16694-2025</t>
        </is>
      </c>
      <c r="B561" s="1" t="n">
        <v>45754.46480324074</v>
      </c>
      <c r="C561" s="1" t="n">
        <v>46089</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30374-2023</t>
        </is>
      </c>
      <c r="B562" s="1" t="n">
        <v>45111</v>
      </c>
      <c r="C562" s="1" t="n">
        <v>46089</v>
      </c>
      <c r="D562" t="inlineStr">
        <is>
          <t>ÖREBRO LÄN</t>
        </is>
      </c>
      <c r="E562" t="inlineStr">
        <is>
          <t>ÖREBRO</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38898-2023</t>
        </is>
      </c>
      <c r="B563" s="1" t="n">
        <v>45163</v>
      </c>
      <c r="C563" s="1" t="n">
        <v>46089</v>
      </c>
      <c r="D563" t="inlineStr">
        <is>
          <t>ÖREBRO LÄN</t>
        </is>
      </c>
      <c r="E563" t="inlineStr">
        <is>
          <t>ÖREBRO</t>
        </is>
      </c>
      <c r="G563" t="n">
        <v>5.1</v>
      </c>
      <c r="H563" t="n">
        <v>0</v>
      </c>
      <c r="I563" t="n">
        <v>0</v>
      </c>
      <c r="J563" t="n">
        <v>0</v>
      </c>
      <c r="K563" t="n">
        <v>0</v>
      </c>
      <c r="L563" t="n">
        <v>0</v>
      </c>
      <c r="M563" t="n">
        <v>0</v>
      </c>
      <c r="N563" t="n">
        <v>0</v>
      </c>
      <c r="O563" t="n">
        <v>0</v>
      </c>
      <c r="P563" t="n">
        <v>0</v>
      </c>
      <c r="Q563" t="n">
        <v>0</v>
      </c>
      <c r="R563" s="2" t="inlineStr"/>
    </row>
    <row r="564" ht="15" customHeight="1">
      <c r="A564" t="inlineStr">
        <is>
          <t>A 5764-2022</t>
        </is>
      </c>
      <c r="B564" s="1" t="n">
        <v>44596</v>
      </c>
      <c r="C564" s="1" t="n">
        <v>46089</v>
      </c>
      <c r="D564" t="inlineStr">
        <is>
          <t>ÖREBRO LÄN</t>
        </is>
      </c>
      <c r="E564" t="inlineStr">
        <is>
          <t>ÖREBRO</t>
        </is>
      </c>
      <c r="G564" t="n">
        <v>3.5</v>
      </c>
      <c r="H564" t="n">
        <v>0</v>
      </c>
      <c r="I564" t="n">
        <v>0</v>
      </c>
      <c r="J564" t="n">
        <v>0</v>
      </c>
      <c r="K564" t="n">
        <v>0</v>
      </c>
      <c r="L564" t="n">
        <v>0</v>
      </c>
      <c r="M564" t="n">
        <v>0</v>
      </c>
      <c r="N564" t="n">
        <v>0</v>
      </c>
      <c r="O564" t="n">
        <v>0</v>
      </c>
      <c r="P564" t="n">
        <v>0</v>
      </c>
      <c r="Q564" t="n">
        <v>0</v>
      </c>
      <c r="R564" s="2" t="inlineStr"/>
    </row>
    <row r="565" ht="15" customHeight="1">
      <c r="A565" t="inlineStr">
        <is>
          <t>A 21036-2024</t>
        </is>
      </c>
      <c r="B565" s="1" t="n">
        <v>45439.65954861111</v>
      </c>
      <c r="C565" s="1" t="n">
        <v>46089</v>
      </c>
      <c r="D565" t="inlineStr">
        <is>
          <t>ÖREBRO LÄN</t>
        </is>
      </c>
      <c r="E565" t="inlineStr">
        <is>
          <t>ÖREBRO</t>
        </is>
      </c>
      <c r="F565" t="inlineStr">
        <is>
          <t>Övriga Aktiebolag</t>
        </is>
      </c>
      <c r="G565" t="n">
        <v>5.7</v>
      </c>
      <c r="H565" t="n">
        <v>0</v>
      </c>
      <c r="I565" t="n">
        <v>0</v>
      </c>
      <c r="J565" t="n">
        <v>0</v>
      </c>
      <c r="K565" t="n">
        <v>0</v>
      </c>
      <c r="L565" t="n">
        <v>0</v>
      </c>
      <c r="M565" t="n">
        <v>0</v>
      </c>
      <c r="N565" t="n">
        <v>0</v>
      </c>
      <c r="O565" t="n">
        <v>0</v>
      </c>
      <c r="P565" t="n">
        <v>0</v>
      </c>
      <c r="Q565" t="n">
        <v>0</v>
      </c>
      <c r="R565" s="2" t="inlineStr"/>
    </row>
    <row r="566" ht="15" customHeight="1">
      <c r="A566" t="inlineStr">
        <is>
          <t>A 1492-2022</t>
        </is>
      </c>
      <c r="B566" s="1" t="n">
        <v>44573</v>
      </c>
      <c r="C566" s="1" t="n">
        <v>46089</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58615-2024</t>
        </is>
      </c>
      <c r="B567" s="1" t="n">
        <v>45635.5587037037</v>
      </c>
      <c r="C567" s="1" t="n">
        <v>46089</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58620-2024</t>
        </is>
      </c>
      <c r="B568" s="1" t="n">
        <v>45635.56246527778</v>
      </c>
      <c r="C568" s="1" t="n">
        <v>46089</v>
      </c>
      <c r="D568" t="inlineStr">
        <is>
          <t>ÖREBRO LÄN</t>
        </is>
      </c>
      <c r="E568" t="inlineStr">
        <is>
          <t>ÖREBRO</t>
        </is>
      </c>
      <c r="F568" t="inlineStr">
        <is>
          <t>Sveaskog</t>
        </is>
      </c>
      <c r="G568" t="n">
        <v>4.5</v>
      </c>
      <c r="H568" t="n">
        <v>0</v>
      </c>
      <c r="I568" t="n">
        <v>0</v>
      </c>
      <c r="J568" t="n">
        <v>0</v>
      </c>
      <c r="K568" t="n">
        <v>0</v>
      </c>
      <c r="L568" t="n">
        <v>0</v>
      </c>
      <c r="M568" t="n">
        <v>0</v>
      </c>
      <c r="N568" t="n">
        <v>0</v>
      </c>
      <c r="O568" t="n">
        <v>0</v>
      </c>
      <c r="P568" t="n">
        <v>0</v>
      </c>
      <c r="Q568" t="n">
        <v>0</v>
      </c>
      <c r="R568" s="2" t="inlineStr"/>
    </row>
    <row r="569" ht="15" customHeight="1">
      <c r="A569" t="inlineStr">
        <is>
          <t>A 1014-2024</t>
        </is>
      </c>
      <c r="B569" s="1" t="n">
        <v>45301</v>
      </c>
      <c r="C569" s="1" t="n">
        <v>46089</v>
      </c>
      <c r="D569" t="inlineStr">
        <is>
          <t>ÖREBRO LÄN</t>
        </is>
      </c>
      <c r="E569" t="inlineStr">
        <is>
          <t>ÖREBRO</t>
        </is>
      </c>
      <c r="G569" t="n">
        <v>1.4</v>
      </c>
      <c r="H569" t="n">
        <v>0</v>
      </c>
      <c r="I569" t="n">
        <v>0</v>
      </c>
      <c r="J569" t="n">
        <v>0</v>
      </c>
      <c r="K569" t="n">
        <v>0</v>
      </c>
      <c r="L569" t="n">
        <v>0</v>
      </c>
      <c r="M569" t="n">
        <v>0</v>
      </c>
      <c r="N569" t="n">
        <v>0</v>
      </c>
      <c r="O569" t="n">
        <v>0</v>
      </c>
      <c r="P569" t="n">
        <v>0</v>
      </c>
      <c r="Q569" t="n">
        <v>0</v>
      </c>
      <c r="R569" s="2" t="inlineStr"/>
    </row>
    <row r="570" ht="15" customHeight="1">
      <c r="A570" t="inlineStr">
        <is>
          <t>A 30472-2022</t>
        </is>
      </c>
      <c r="B570" s="1" t="n">
        <v>44761.70467592592</v>
      </c>
      <c r="C570" s="1" t="n">
        <v>46089</v>
      </c>
      <c r="D570" t="inlineStr">
        <is>
          <t>ÖREBRO LÄN</t>
        </is>
      </c>
      <c r="E570" t="inlineStr">
        <is>
          <t>ÖREBRO</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34056-2023</t>
        </is>
      </c>
      <c r="B571" s="1" t="n">
        <v>45135</v>
      </c>
      <c r="C571" s="1" t="n">
        <v>46089</v>
      </c>
      <c r="D571" t="inlineStr">
        <is>
          <t>ÖREBRO LÄN</t>
        </is>
      </c>
      <c r="E571" t="inlineStr">
        <is>
          <t>ÖREBRO</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43612-2022</t>
        </is>
      </c>
      <c r="B572" s="1" t="n">
        <v>44837</v>
      </c>
      <c r="C572" s="1" t="n">
        <v>46089</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51373-2023</t>
        </is>
      </c>
      <c r="B573" s="1" t="n">
        <v>45213</v>
      </c>
      <c r="C573" s="1" t="n">
        <v>46089</v>
      </c>
      <c r="D573" t="inlineStr">
        <is>
          <t>ÖREBRO LÄN</t>
        </is>
      </c>
      <c r="E573" t="inlineStr">
        <is>
          <t>ÖREBRO</t>
        </is>
      </c>
      <c r="G573" t="n">
        <v>5.9</v>
      </c>
      <c r="H573" t="n">
        <v>0</v>
      </c>
      <c r="I573" t="n">
        <v>0</v>
      </c>
      <c r="J573" t="n">
        <v>0</v>
      </c>
      <c r="K573" t="n">
        <v>0</v>
      </c>
      <c r="L573" t="n">
        <v>0</v>
      </c>
      <c r="M573" t="n">
        <v>0</v>
      </c>
      <c r="N573" t="n">
        <v>0</v>
      </c>
      <c r="O573" t="n">
        <v>0</v>
      </c>
      <c r="P573" t="n">
        <v>0</v>
      </c>
      <c r="Q573" t="n">
        <v>0</v>
      </c>
      <c r="R573" s="2" t="inlineStr"/>
    </row>
    <row r="574" ht="15" customHeight="1">
      <c r="A574" t="inlineStr">
        <is>
          <t>A 35843-2022</t>
        </is>
      </c>
      <c r="B574" s="1" t="n">
        <v>44802</v>
      </c>
      <c r="C574" s="1" t="n">
        <v>46089</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13599-2025</t>
        </is>
      </c>
      <c r="B575" s="1" t="n">
        <v>45736.60597222222</v>
      </c>
      <c r="C575" s="1" t="n">
        <v>46089</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20146-2024</t>
        </is>
      </c>
      <c r="B576" s="1" t="n">
        <v>45434.57641203704</v>
      </c>
      <c r="C576" s="1" t="n">
        <v>46089</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10937-2024</t>
        </is>
      </c>
      <c r="B577" s="1" t="n">
        <v>45370.44461805555</v>
      </c>
      <c r="C577" s="1" t="n">
        <v>46089</v>
      </c>
      <c r="D577" t="inlineStr">
        <is>
          <t>ÖREBRO LÄN</t>
        </is>
      </c>
      <c r="E577" t="inlineStr">
        <is>
          <t>ÖREBRO</t>
        </is>
      </c>
      <c r="G577" t="n">
        <v>4.3</v>
      </c>
      <c r="H577" t="n">
        <v>0</v>
      </c>
      <c r="I577" t="n">
        <v>0</v>
      </c>
      <c r="J577" t="n">
        <v>0</v>
      </c>
      <c r="K577" t="n">
        <v>0</v>
      </c>
      <c r="L577" t="n">
        <v>0</v>
      </c>
      <c r="M577" t="n">
        <v>0</v>
      </c>
      <c r="N577" t="n">
        <v>0</v>
      </c>
      <c r="O577" t="n">
        <v>0</v>
      </c>
      <c r="P577" t="n">
        <v>0</v>
      </c>
      <c r="Q577" t="n">
        <v>0</v>
      </c>
      <c r="R577" s="2" t="inlineStr"/>
    </row>
    <row r="578" ht="15" customHeight="1">
      <c r="A578" t="inlineStr">
        <is>
          <t>A 20115-2024</t>
        </is>
      </c>
      <c r="B578" s="1" t="n">
        <v>45434</v>
      </c>
      <c r="C578" s="1" t="n">
        <v>46089</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16936-2023</t>
        </is>
      </c>
      <c r="B579" s="1" t="n">
        <v>45033.63005787037</v>
      </c>
      <c r="C579" s="1" t="n">
        <v>46089</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40588-2021</t>
        </is>
      </c>
      <c r="B580" s="1" t="n">
        <v>44420</v>
      </c>
      <c r="C580" s="1" t="n">
        <v>46089</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57485-2023</t>
        </is>
      </c>
      <c r="B581" s="1" t="n">
        <v>45246</v>
      </c>
      <c r="C581" s="1" t="n">
        <v>46089</v>
      </c>
      <c r="D581" t="inlineStr">
        <is>
          <t>ÖREBRO LÄN</t>
        </is>
      </c>
      <c r="E581" t="inlineStr">
        <is>
          <t>ÖREBRO</t>
        </is>
      </c>
      <c r="G581" t="n">
        <v>0.9</v>
      </c>
      <c r="H581" t="n">
        <v>0</v>
      </c>
      <c r="I581" t="n">
        <v>0</v>
      </c>
      <c r="J581" t="n">
        <v>0</v>
      </c>
      <c r="K581" t="n">
        <v>0</v>
      </c>
      <c r="L581" t="n">
        <v>0</v>
      </c>
      <c r="M581" t="n">
        <v>0</v>
      </c>
      <c r="N581" t="n">
        <v>0</v>
      </c>
      <c r="O581" t="n">
        <v>0</v>
      </c>
      <c r="P581" t="n">
        <v>0</v>
      </c>
      <c r="Q581" t="n">
        <v>0</v>
      </c>
      <c r="R581" s="2" t="inlineStr"/>
    </row>
    <row r="582" ht="15" customHeight="1">
      <c r="A582" t="inlineStr">
        <is>
          <t>A 37025-2024</t>
        </is>
      </c>
      <c r="B582" s="1" t="n">
        <v>45539.3840162037</v>
      </c>
      <c r="C582" s="1" t="n">
        <v>46089</v>
      </c>
      <c r="D582" t="inlineStr">
        <is>
          <t>ÖREBRO LÄN</t>
        </is>
      </c>
      <c r="E582" t="inlineStr">
        <is>
          <t>ÖREBRO</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37027-2024</t>
        </is>
      </c>
      <c r="B583" s="1" t="n">
        <v>45539.38487268519</v>
      </c>
      <c r="C583" s="1" t="n">
        <v>46089</v>
      </c>
      <c r="D583" t="inlineStr">
        <is>
          <t>ÖREBRO LÄN</t>
        </is>
      </c>
      <c r="E583" t="inlineStr">
        <is>
          <t>ÖREBRO</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60506-2024</t>
        </is>
      </c>
      <c r="B584" s="1" t="n">
        <v>45643.66630787037</v>
      </c>
      <c r="C584" s="1" t="n">
        <v>46089</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44839.59194444444</v>
      </c>
      <c r="C585" s="1" t="n">
        <v>46089</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46089</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58608-2024</t>
        </is>
      </c>
      <c r="B587" s="1" t="n">
        <v>45635.55185185185</v>
      </c>
      <c r="C587" s="1" t="n">
        <v>46089</v>
      </c>
      <c r="D587" t="inlineStr">
        <is>
          <t>ÖREBRO LÄN</t>
        </is>
      </c>
      <c r="E587" t="inlineStr">
        <is>
          <t>ÖREBRO</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38422-2023</t>
        </is>
      </c>
      <c r="B588" s="1" t="n">
        <v>45162.36422453704</v>
      </c>
      <c r="C588" s="1" t="n">
        <v>46089</v>
      </c>
      <c r="D588" t="inlineStr">
        <is>
          <t>ÖREBRO LÄN</t>
        </is>
      </c>
      <c r="E588" t="inlineStr">
        <is>
          <t>ÖREBRO</t>
        </is>
      </c>
      <c r="G588" t="n">
        <v>8</v>
      </c>
      <c r="H588" t="n">
        <v>0</v>
      </c>
      <c r="I588" t="n">
        <v>0</v>
      </c>
      <c r="J588" t="n">
        <v>0</v>
      </c>
      <c r="K588" t="n">
        <v>0</v>
      </c>
      <c r="L588" t="n">
        <v>0</v>
      </c>
      <c r="M588" t="n">
        <v>0</v>
      </c>
      <c r="N588" t="n">
        <v>0</v>
      </c>
      <c r="O588" t="n">
        <v>0</v>
      </c>
      <c r="P588" t="n">
        <v>0</v>
      </c>
      <c r="Q588" t="n">
        <v>0</v>
      </c>
      <c r="R588" s="2" t="inlineStr"/>
    </row>
    <row r="589" ht="15" customHeight="1">
      <c r="A589" t="inlineStr">
        <is>
          <t>A 56040-2024</t>
        </is>
      </c>
      <c r="B589" s="1" t="n">
        <v>45624.3344212963</v>
      </c>
      <c r="C589" s="1" t="n">
        <v>46089</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14487-2023</t>
        </is>
      </c>
      <c r="B590" s="1" t="n">
        <v>45012</v>
      </c>
      <c r="C590" s="1" t="n">
        <v>46089</v>
      </c>
      <c r="D590" t="inlineStr">
        <is>
          <t>ÖREBRO LÄN</t>
        </is>
      </c>
      <c r="E590" t="inlineStr">
        <is>
          <t>ÖREBRO</t>
        </is>
      </c>
      <c r="G590" t="n">
        <v>0.5</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46089</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49029-2024</t>
        </is>
      </c>
      <c r="B592" s="1" t="n">
        <v>45594</v>
      </c>
      <c r="C592" s="1" t="n">
        <v>46089</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49062-2023</t>
        </is>
      </c>
      <c r="B593" s="1" t="n">
        <v>45210.35119212963</v>
      </c>
      <c r="C593" s="1" t="n">
        <v>46089</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35829-2024</t>
        </is>
      </c>
      <c r="B594" s="1" t="n">
        <v>45532</v>
      </c>
      <c r="C594" s="1" t="n">
        <v>46089</v>
      </c>
      <c r="D594" t="inlineStr">
        <is>
          <t>ÖREBRO LÄN</t>
        </is>
      </c>
      <c r="E594" t="inlineStr">
        <is>
          <t>ÖREBRO</t>
        </is>
      </c>
      <c r="G594" t="n">
        <v>4.6</v>
      </c>
      <c r="H594" t="n">
        <v>0</v>
      </c>
      <c r="I594" t="n">
        <v>0</v>
      </c>
      <c r="J594" t="n">
        <v>0</v>
      </c>
      <c r="K594" t="n">
        <v>0</v>
      </c>
      <c r="L594" t="n">
        <v>0</v>
      </c>
      <c r="M594" t="n">
        <v>0</v>
      </c>
      <c r="N594" t="n">
        <v>0</v>
      </c>
      <c r="O594" t="n">
        <v>0</v>
      </c>
      <c r="P594" t="n">
        <v>0</v>
      </c>
      <c r="Q594" t="n">
        <v>0</v>
      </c>
      <c r="R594" s="2" t="inlineStr"/>
    </row>
    <row r="595" ht="15" customHeight="1">
      <c r="A595" t="inlineStr">
        <is>
          <t>A 13181-2023</t>
        </is>
      </c>
      <c r="B595" s="1" t="n">
        <v>45002.60659722222</v>
      </c>
      <c r="C595" s="1" t="n">
        <v>46089</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61078-2024</t>
        </is>
      </c>
      <c r="B596" s="1" t="n">
        <v>45645.51034722223</v>
      </c>
      <c r="C596" s="1" t="n">
        <v>46089</v>
      </c>
      <c r="D596" t="inlineStr">
        <is>
          <t>ÖREBRO LÄN</t>
        </is>
      </c>
      <c r="E596" t="inlineStr">
        <is>
          <t>ÖREBRO</t>
        </is>
      </c>
      <c r="G596" t="n">
        <v>4.1</v>
      </c>
      <c r="H596" t="n">
        <v>0</v>
      </c>
      <c r="I596" t="n">
        <v>0</v>
      </c>
      <c r="J596" t="n">
        <v>0</v>
      </c>
      <c r="K596" t="n">
        <v>0</v>
      </c>
      <c r="L596" t="n">
        <v>0</v>
      </c>
      <c r="M596" t="n">
        <v>0</v>
      </c>
      <c r="N596" t="n">
        <v>0</v>
      </c>
      <c r="O596" t="n">
        <v>0</v>
      </c>
      <c r="P596" t="n">
        <v>0</v>
      </c>
      <c r="Q596" t="n">
        <v>0</v>
      </c>
      <c r="R596" s="2" t="inlineStr"/>
    </row>
    <row r="597" ht="15" customHeight="1">
      <c r="A597" t="inlineStr">
        <is>
          <t>A 62511-2023</t>
        </is>
      </c>
      <c r="B597" s="1" t="n">
        <v>45268.61855324074</v>
      </c>
      <c r="C597" s="1" t="n">
        <v>46089</v>
      </c>
      <c r="D597" t="inlineStr">
        <is>
          <t>ÖREBRO LÄN</t>
        </is>
      </c>
      <c r="E597" t="inlineStr">
        <is>
          <t>ÖREBRO</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55472-2023</t>
        </is>
      </c>
      <c r="B598" s="1" t="n">
        <v>45238</v>
      </c>
      <c r="C598" s="1" t="n">
        <v>46089</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5129-2024</t>
        </is>
      </c>
      <c r="B599" s="1" t="n">
        <v>45330</v>
      </c>
      <c r="C599" s="1" t="n">
        <v>46089</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58486-2024</t>
        </is>
      </c>
      <c r="B600" s="1" t="n">
        <v>45635</v>
      </c>
      <c r="C600" s="1" t="n">
        <v>46089</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30015-2023</t>
        </is>
      </c>
      <c r="B601" s="1" t="n">
        <v>45109</v>
      </c>
      <c r="C601" s="1" t="n">
        <v>46089</v>
      </c>
      <c r="D601" t="inlineStr">
        <is>
          <t>ÖREBRO LÄN</t>
        </is>
      </c>
      <c r="E601" t="inlineStr">
        <is>
          <t>ÖREBRO</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46089</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8512-2025</t>
        </is>
      </c>
      <c r="B603" s="1" t="n">
        <v>45709.54873842592</v>
      </c>
      <c r="C603" s="1" t="n">
        <v>46089</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14715-2024</t>
        </is>
      </c>
      <c r="B604" s="1" t="n">
        <v>45397.5500462963</v>
      </c>
      <c r="C604" s="1" t="n">
        <v>46089</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58145-2024</t>
        </is>
      </c>
      <c r="B605" s="1" t="n">
        <v>45632.43230324074</v>
      </c>
      <c r="C605" s="1" t="n">
        <v>46089</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16300-2022</t>
        </is>
      </c>
      <c r="B606" s="1" t="n">
        <v>44670</v>
      </c>
      <c r="C606" s="1" t="n">
        <v>46089</v>
      </c>
      <c r="D606" t="inlineStr">
        <is>
          <t>ÖREBRO LÄN</t>
        </is>
      </c>
      <c r="E606" t="inlineStr">
        <is>
          <t>ÖREBRO</t>
        </is>
      </c>
      <c r="G606" t="n">
        <v>0.8</v>
      </c>
      <c r="H606" t="n">
        <v>0</v>
      </c>
      <c r="I606" t="n">
        <v>0</v>
      </c>
      <c r="J606" t="n">
        <v>0</v>
      </c>
      <c r="K606" t="n">
        <v>0</v>
      </c>
      <c r="L606" t="n">
        <v>0</v>
      </c>
      <c r="M606" t="n">
        <v>0</v>
      </c>
      <c r="N606" t="n">
        <v>0</v>
      </c>
      <c r="O606" t="n">
        <v>0</v>
      </c>
      <c r="P606" t="n">
        <v>0</v>
      </c>
      <c r="Q606" t="n">
        <v>0</v>
      </c>
      <c r="R606" s="2" t="inlineStr"/>
    </row>
    <row r="607" ht="15" customHeight="1">
      <c r="A607" t="inlineStr">
        <is>
          <t>A 18181-2024</t>
        </is>
      </c>
      <c r="B607" s="1" t="n">
        <v>45420.64561342593</v>
      </c>
      <c r="C607" s="1" t="n">
        <v>46089</v>
      </c>
      <c r="D607" t="inlineStr">
        <is>
          <t>ÖREBRO LÄN</t>
        </is>
      </c>
      <c r="E607" t="inlineStr">
        <is>
          <t>ÖREBRO</t>
        </is>
      </c>
      <c r="G607" t="n">
        <v>7.6</v>
      </c>
      <c r="H607" t="n">
        <v>0</v>
      </c>
      <c r="I607" t="n">
        <v>0</v>
      </c>
      <c r="J607" t="n">
        <v>0</v>
      </c>
      <c r="K607" t="n">
        <v>0</v>
      </c>
      <c r="L607" t="n">
        <v>0</v>
      </c>
      <c r="M607" t="n">
        <v>0</v>
      </c>
      <c r="N607" t="n">
        <v>0</v>
      </c>
      <c r="O607" t="n">
        <v>0</v>
      </c>
      <c r="P607" t="n">
        <v>0</v>
      </c>
      <c r="Q607" t="n">
        <v>0</v>
      </c>
      <c r="R607" s="2" t="inlineStr"/>
    </row>
    <row r="608" ht="15" customHeight="1">
      <c r="A608" t="inlineStr">
        <is>
          <t>A 70707-2021</t>
        </is>
      </c>
      <c r="B608" s="1" t="n">
        <v>44537</v>
      </c>
      <c r="C608" s="1" t="n">
        <v>46089</v>
      </c>
      <c r="D608" t="inlineStr">
        <is>
          <t>ÖREBRO LÄN</t>
        </is>
      </c>
      <c r="E608" t="inlineStr">
        <is>
          <t>ÖREBRO</t>
        </is>
      </c>
      <c r="G608" t="n">
        <v>13.2</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46089</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2152-2023</t>
        </is>
      </c>
      <c r="B610" s="1" t="n">
        <v>44941.55056712963</v>
      </c>
      <c r="C610" s="1" t="n">
        <v>46089</v>
      </c>
      <c r="D610" t="inlineStr">
        <is>
          <t>ÖREBRO LÄN</t>
        </is>
      </c>
      <c r="E610" t="inlineStr">
        <is>
          <t>ÖREBRO</t>
        </is>
      </c>
      <c r="G610" t="n">
        <v>8</v>
      </c>
      <c r="H610" t="n">
        <v>0</v>
      </c>
      <c r="I610" t="n">
        <v>0</v>
      </c>
      <c r="J610" t="n">
        <v>0</v>
      </c>
      <c r="K610" t="n">
        <v>0</v>
      </c>
      <c r="L610" t="n">
        <v>0</v>
      </c>
      <c r="M610" t="n">
        <v>0</v>
      </c>
      <c r="N610" t="n">
        <v>0</v>
      </c>
      <c r="O610" t="n">
        <v>0</v>
      </c>
      <c r="P610" t="n">
        <v>0</v>
      </c>
      <c r="Q610" t="n">
        <v>0</v>
      </c>
      <c r="R610" s="2" t="inlineStr"/>
    </row>
    <row r="611" ht="15" customHeight="1">
      <c r="A611" t="inlineStr">
        <is>
          <t>A 8656-2025</t>
        </is>
      </c>
      <c r="B611" s="1" t="n">
        <v>45712.38268518518</v>
      </c>
      <c r="C611" s="1" t="n">
        <v>46089</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55353-2024</t>
        </is>
      </c>
      <c r="B612" s="1" t="n">
        <v>45621.79526620371</v>
      </c>
      <c r="C612" s="1" t="n">
        <v>46089</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55357-2024</t>
        </is>
      </c>
      <c r="B613" s="1" t="n">
        <v>45621.81126157408</v>
      </c>
      <c r="C613" s="1" t="n">
        <v>46089</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42623-2022</t>
        </is>
      </c>
      <c r="B614" s="1" t="n">
        <v>44831</v>
      </c>
      <c r="C614" s="1" t="n">
        <v>46089</v>
      </c>
      <c r="D614" t="inlineStr">
        <is>
          <t>ÖREBRO LÄN</t>
        </is>
      </c>
      <c r="E614" t="inlineStr">
        <is>
          <t>ÖREBRO</t>
        </is>
      </c>
      <c r="G614" t="n">
        <v>3.6</v>
      </c>
      <c r="H614" t="n">
        <v>0</v>
      </c>
      <c r="I614" t="n">
        <v>0</v>
      </c>
      <c r="J614" t="n">
        <v>0</v>
      </c>
      <c r="K614" t="n">
        <v>0</v>
      </c>
      <c r="L614" t="n">
        <v>0</v>
      </c>
      <c r="M614" t="n">
        <v>0</v>
      </c>
      <c r="N614" t="n">
        <v>0</v>
      </c>
      <c r="O614" t="n">
        <v>0</v>
      </c>
      <c r="P614" t="n">
        <v>0</v>
      </c>
      <c r="Q614" t="n">
        <v>0</v>
      </c>
      <c r="R614" s="2" t="inlineStr"/>
    </row>
    <row r="615" ht="15" customHeight="1">
      <c r="A615" t="inlineStr">
        <is>
          <t>A 72329-2021</t>
        </is>
      </c>
      <c r="B615" s="1" t="n">
        <v>44545.46072916667</v>
      </c>
      <c r="C615" s="1" t="n">
        <v>46089</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4344-2025</t>
        </is>
      </c>
      <c r="B616" s="1" t="n">
        <v>45685</v>
      </c>
      <c r="C616" s="1" t="n">
        <v>46089</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55355-2024</t>
        </is>
      </c>
      <c r="B617" s="1" t="n">
        <v>45621.80475694445</v>
      </c>
      <c r="C617" s="1" t="n">
        <v>46089</v>
      </c>
      <c r="D617" t="inlineStr">
        <is>
          <t>ÖREBRO LÄN</t>
        </is>
      </c>
      <c r="E617" t="inlineStr">
        <is>
          <t>ÖREBRO</t>
        </is>
      </c>
      <c r="G617" t="n">
        <v>1.6</v>
      </c>
      <c r="H617" t="n">
        <v>0</v>
      </c>
      <c r="I617" t="n">
        <v>0</v>
      </c>
      <c r="J617" t="n">
        <v>0</v>
      </c>
      <c r="K617" t="n">
        <v>0</v>
      </c>
      <c r="L617" t="n">
        <v>0</v>
      </c>
      <c r="M617" t="n">
        <v>0</v>
      </c>
      <c r="N617" t="n">
        <v>0</v>
      </c>
      <c r="O617" t="n">
        <v>0</v>
      </c>
      <c r="P617" t="n">
        <v>0</v>
      </c>
      <c r="Q617" t="n">
        <v>0</v>
      </c>
      <c r="R617" s="2" t="inlineStr"/>
    </row>
    <row r="618" ht="15" customHeight="1">
      <c r="A618" t="inlineStr">
        <is>
          <t>A 56077-2022</t>
        </is>
      </c>
      <c r="B618" s="1" t="n">
        <v>44889.60872685185</v>
      </c>
      <c r="C618" s="1" t="n">
        <v>46089</v>
      </c>
      <c r="D618" t="inlineStr">
        <is>
          <t>ÖREBRO LÄN</t>
        </is>
      </c>
      <c r="E618" t="inlineStr">
        <is>
          <t>ÖREBRO</t>
        </is>
      </c>
      <c r="F618" t="inlineStr">
        <is>
          <t>Övriga Aktiebolag</t>
        </is>
      </c>
      <c r="G618" t="n">
        <v>2.5</v>
      </c>
      <c r="H618" t="n">
        <v>0</v>
      </c>
      <c r="I618" t="n">
        <v>0</v>
      </c>
      <c r="J618" t="n">
        <v>0</v>
      </c>
      <c r="K618" t="n">
        <v>0</v>
      </c>
      <c r="L618" t="n">
        <v>0</v>
      </c>
      <c r="M618" t="n">
        <v>0</v>
      </c>
      <c r="N618" t="n">
        <v>0</v>
      </c>
      <c r="O618" t="n">
        <v>0</v>
      </c>
      <c r="P618" t="n">
        <v>0</v>
      </c>
      <c r="Q618" t="n">
        <v>0</v>
      </c>
      <c r="R618" s="2" t="inlineStr"/>
    </row>
    <row r="619" ht="15" customHeight="1">
      <c r="A619" t="inlineStr">
        <is>
          <t>A 33457-2023</t>
        </is>
      </c>
      <c r="B619" s="1" t="n">
        <v>45131</v>
      </c>
      <c r="C619" s="1" t="n">
        <v>46089</v>
      </c>
      <c r="D619" t="inlineStr">
        <is>
          <t>ÖREBRO LÄN</t>
        </is>
      </c>
      <c r="E619" t="inlineStr">
        <is>
          <t>ÖREBRO</t>
        </is>
      </c>
      <c r="G619" t="n">
        <v>0.5</v>
      </c>
      <c r="H619" t="n">
        <v>0</v>
      </c>
      <c r="I619" t="n">
        <v>0</v>
      </c>
      <c r="J619" t="n">
        <v>0</v>
      </c>
      <c r="K619" t="n">
        <v>0</v>
      </c>
      <c r="L619" t="n">
        <v>0</v>
      </c>
      <c r="M619" t="n">
        <v>0</v>
      </c>
      <c r="N619" t="n">
        <v>0</v>
      </c>
      <c r="O619" t="n">
        <v>0</v>
      </c>
      <c r="P619" t="n">
        <v>0</v>
      </c>
      <c r="Q619" t="n">
        <v>0</v>
      </c>
      <c r="R619" s="2" t="inlineStr"/>
    </row>
    <row r="620" ht="15" customHeight="1">
      <c r="A620" t="inlineStr">
        <is>
          <t>A 7141-2025</t>
        </is>
      </c>
      <c r="B620" s="1" t="n">
        <v>45702</v>
      </c>
      <c r="C620" s="1" t="n">
        <v>46089</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22677-2022</t>
        </is>
      </c>
      <c r="B621" s="1" t="n">
        <v>44714</v>
      </c>
      <c r="C621" s="1" t="n">
        <v>46089</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13169-2024</t>
        </is>
      </c>
      <c r="B622" s="1" t="n">
        <v>45386.40489583334</v>
      </c>
      <c r="C622" s="1" t="n">
        <v>46089</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23710-2022</t>
        </is>
      </c>
      <c r="B623" s="1" t="n">
        <v>44722</v>
      </c>
      <c r="C623" s="1" t="n">
        <v>46089</v>
      </c>
      <c r="D623" t="inlineStr">
        <is>
          <t>ÖREBRO LÄN</t>
        </is>
      </c>
      <c r="E623" t="inlineStr">
        <is>
          <t>ÖREBRO</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4757-2024</t>
        </is>
      </c>
      <c r="B624" s="1" t="n">
        <v>45328</v>
      </c>
      <c r="C624" s="1" t="n">
        <v>46089</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30903-2024</t>
        </is>
      </c>
      <c r="B625" s="1" t="n">
        <v>45498.49946759259</v>
      </c>
      <c r="C625" s="1" t="n">
        <v>46089</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47193-2023</t>
        </is>
      </c>
      <c r="B626" s="1" t="n">
        <v>45202.3074537037</v>
      </c>
      <c r="C626" s="1" t="n">
        <v>46089</v>
      </c>
      <c r="D626" t="inlineStr">
        <is>
          <t>ÖREBRO LÄN</t>
        </is>
      </c>
      <c r="E626" t="inlineStr">
        <is>
          <t>ÖREBRO</t>
        </is>
      </c>
      <c r="G626" t="n">
        <v>2.4</v>
      </c>
      <c r="H626" t="n">
        <v>0</v>
      </c>
      <c r="I626" t="n">
        <v>0</v>
      </c>
      <c r="J626" t="n">
        <v>0</v>
      </c>
      <c r="K626" t="n">
        <v>0</v>
      </c>
      <c r="L626" t="n">
        <v>0</v>
      </c>
      <c r="M626" t="n">
        <v>0</v>
      </c>
      <c r="N626" t="n">
        <v>0</v>
      </c>
      <c r="O626" t="n">
        <v>0</v>
      </c>
      <c r="P626" t="n">
        <v>0</v>
      </c>
      <c r="Q626" t="n">
        <v>0</v>
      </c>
      <c r="R626" s="2" t="inlineStr"/>
    </row>
    <row r="627" ht="15" customHeight="1">
      <c r="A627" t="inlineStr">
        <is>
          <t>A 59026-2024</t>
        </is>
      </c>
      <c r="B627" s="1" t="n">
        <v>45636.6875</v>
      </c>
      <c r="C627" s="1" t="n">
        <v>46089</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17465-2023</t>
        </is>
      </c>
      <c r="B628" s="1" t="n">
        <v>45036</v>
      </c>
      <c r="C628" s="1" t="n">
        <v>46089</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36635-2023</t>
        </is>
      </c>
      <c r="B629" s="1" t="n">
        <v>45153</v>
      </c>
      <c r="C629" s="1" t="n">
        <v>46089</v>
      </c>
      <c r="D629" t="inlineStr">
        <is>
          <t>ÖREBRO LÄN</t>
        </is>
      </c>
      <c r="E629" t="inlineStr">
        <is>
          <t>ÖREBRO</t>
        </is>
      </c>
      <c r="G629" t="n">
        <v>1.9</v>
      </c>
      <c r="H629" t="n">
        <v>0</v>
      </c>
      <c r="I629" t="n">
        <v>0</v>
      </c>
      <c r="J629" t="n">
        <v>0</v>
      </c>
      <c r="K629" t="n">
        <v>0</v>
      </c>
      <c r="L629" t="n">
        <v>0</v>
      </c>
      <c r="M629" t="n">
        <v>0</v>
      </c>
      <c r="N629" t="n">
        <v>0</v>
      </c>
      <c r="O629" t="n">
        <v>0</v>
      </c>
      <c r="P629" t="n">
        <v>0</v>
      </c>
      <c r="Q629" t="n">
        <v>0</v>
      </c>
      <c r="R629" s="2" t="inlineStr"/>
    </row>
    <row r="630" ht="15" customHeight="1">
      <c r="A630" t="inlineStr">
        <is>
          <t>A 681-2024</t>
        </is>
      </c>
      <c r="B630" s="1" t="n">
        <v>45300</v>
      </c>
      <c r="C630" s="1" t="n">
        <v>46089</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21097-2025</t>
        </is>
      </c>
      <c r="B631" s="1" t="n">
        <v>45777.63863425926</v>
      </c>
      <c r="C631" s="1" t="n">
        <v>46089</v>
      </c>
      <c r="D631" t="inlineStr">
        <is>
          <t>ÖREBRO LÄN</t>
        </is>
      </c>
      <c r="E631" t="inlineStr">
        <is>
          <t>ÖREBRO</t>
        </is>
      </c>
      <c r="G631" t="n">
        <v>2.1</v>
      </c>
      <c r="H631" t="n">
        <v>0</v>
      </c>
      <c r="I631" t="n">
        <v>0</v>
      </c>
      <c r="J631" t="n">
        <v>0</v>
      </c>
      <c r="K631" t="n">
        <v>0</v>
      </c>
      <c r="L631" t="n">
        <v>0</v>
      </c>
      <c r="M631" t="n">
        <v>0</v>
      </c>
      <c r="N631" t="n">
        <v>0</v>
      </c>
      <c r="O631" t="n">
        <v>0</v>
      </c>
      <c r="P631" t="n">
        <v>0</v>
      </c>
      <c r="Q631" t="n">
        <v>0</v>
      </c>
      <c r="R631" s="2" t="inlineStr"/>
    </row>
    <row r="632" ht="15" customHeight="1">
      <c r="A632" t="inlineStr">
        <is>
          <t>A 35819-2024</t>
        </is>
      </c>
      <c r="B632" s="1" t="n">
        <v>45532</v>
      </c>
      <c r="C632" s="1" t="n">
        <v>46089</v>
      </c>
      <c r="D632" t="inlineStr">
        <is>
          <t>ÖREBRO LÄN</t>
        </is>
      </c>
      <c r="E632" t="inlineStr">
        <is>
          <t>ÖREBRO</t>
        </is>
      </c>
      <c r="G632" t="n">
        <v>6.4</v>
      </c>
      <c r="H632" t="n">
        <v>0</v>
      </c>
      <c r="I632" t="n">
        <v>0</v>
      </c>
      <c r="J632" t="n">
        <v>0</v>
      </c>
      <c r="K632" t="n">
        <v>0</v>
      </c>
      <c r="L632" t="n">
        <v>0</v>
      </c>
      <c r="M632" t="n">
        <v>0</v>
      </c>
      <c r="N632" t="n">
        <v>0</v>
      </c>
      <c r="O632" t="n">
        <v>0</v>
      </c>
      <c r="P632" t="n">
        <v>0</v>
      </c>
      <c r="Q632" t="n">
        <v>0</v>
      </c>
      <c r="R632" s="2" t="inlineStr"/>
    </row>
    <row r="633" ht="15" customHeight="1">
      <c r="A633" t="inlineStr">
        <is>
          <t>A 32076-2023</t>
        </is>
      </c>
      <c r="B633" s="1" t="n">
        <v>45119.58324074074</v>
      </c>
      <c r="C633" s="1" t="n">
        <v>46089</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21338-2025</t>
        </is>
      </c>
      <c r="B634" s="1" t="n">
        <v>45780</v>
      </c>
      <c r="C634" s="1" t="n">
        <v>46089</v>
      </c>
      <c r="D634" t="inlineStr">
        <is>
          <t>ÖREBRO LÄN</t>
        </is>
      </c>
      <c r="E634" t="inlineStr">
        <is>
          <t>ÖREBRO</t>
        </is>
      </c>
      <c r="G634" t="n">
        <v>3.2</v>
      </c>
      <c r="H634" t="n">
        <v>0</v>
      </c>
      <c r="I634" t="n">
        <v>0</v>
      </c>
      <c r="J634" t="n">
        <v>0</v>
      </c>
      <c r="K634" t="n">
        <v>0</v>
      </c>
      <c r="L634" t="n">
        <v>0</v>
      </c>
      <c r="M634" t="n">
        <v>0</v>
      </c>
      <c r="N634" t="n">
        <v>0</v>
      </c>
      <c r="O634" t="n">
        <v>0</v>
      </c>
      <c r="P634" t="n">
        <v>0</v>
      </c>
      <c r="Q634" t="n">
        <v>0</v>
      </c>
      <c r="R634" s="2" t="inlineStr"/>
    </row>
    <row r="635" ht="15" customHeight="1">
      <c r="A635" t="inlineStr">
        <is>
          <t>A 58644-2023</t>
        </is>
      </c>
      <c r="B635" s="1" t="n">
        <v>45251.58716435185</v>
      </c>
      <c r="C635" s="1" t="n">
        <v>46089</v>
      </c>
      <c r="D635" t="inlineStr">
        <is>
          <t>ÖREBRO LÄN</t>
        </is>
      </c>
      <c r="E635" t="inlineStr">
        <is>
          <t>ÖREBRO</t>
        </is>
      </c>
      <c r="F635" t="inlineStr">
        <is>
          <t>Övriga Aktiebolag</t>
        </is>
      </c>
      <c r="G635" t="n">
        <v>1.9</v>
      </c>
      <c r="H635" t="n">
        <v>0</v>
      </c>
      <c r="I635" t="n">
        <v>0</v>
      </c>
      <c r="J635" t="n">
        <v>0</v>
      </c>
      <c r="K635" t="n">
        <v>0</v>
      </c>
      <c r="L635" t="n">
        <v>0</v>
      </c>
      <c r="M635" t="n">
        <v>0</v>
      </c>
      <c r="N635" t="n">
        <v>0</v>
      </c>
      <c r="O635" t="n">
        <v>0</v>
      </c>
      <c r="P635" t="n">
        <v>0</v>
      </c>
      <c r="Q635" t="n">
        <v>0</v>
      </c>
      <c r="R635" s="2" t="inlineStr"/>
    </row>
    <row r="636" ht="15" customHeight="1">
      <c r="A636" t="inlineStr">
        <is>
          <t>A 22719-2025</t>
        </is>
      </c>
      <c r="B636" s="1" t="n">
        <v>45789</v>
      </c>
      <c r="C636" s="1" t="n">
        <v>46089</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764-2024</t>
        </is>
      </c>
      <c r="B637" s="1" t="n">
        <v>45300.51512731481</v>
      </c>
      <c r="C637" s="1" t="n">
        <v>46089</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22755-2025</t>
        </is>
      </c>
      <c r="B638" s="1" t="n">
        <v>45789.61872685186</v>
      </c>
      <c r="C638" s="1" t="n">
        <v>46089</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34336-2024</t>
        </is>
      </c>
      <c r="B639" s="1" t="n">
        <v>45524.94774305556</v>
      </c>
      <c r="C639" s="1" t="n">
        <v>46089</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15555-2025</t>
        </is>
      </c>
      <c r="B640" s="1" t="n">
        <v>45747.67768518518</v>
      </c>
      <c r="C640" s="1" t="n">
        <v>46089</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61279-2024</t>
        </is>
      </c>
      <c r="B641" s="1" t="n">
        <v>45645</v>
      </c>
      <c r="C641" s="1" t="n">
        <v>46089</v>
      </c>
      <c r="D641" t="inlineStr">
        <is>
          <t>ÖREBRO LÄN</t>
        </is>
      </c>
      <c r="E641" t="inlineStr">
        <is>
          <t>ÖREBRO</t>
        </is>
      </c>
      <c r="G641" t="n">
        <v>0.7</v>
      </c>
      <c r="H641" t="n">
        <v>0</v>
      </c>
      <c r="I641" t="n">
        <v>0</v>
      </c>
      <c r="J641" t="n">
        <v>0</v>
      </c>
      <c r="K641" t="n">
        <v>0</v>
      </c>
      <c r="L641" t="n">
        <v>0</v>
      </c>
      <c r="M641" t="n">
        <v>0</v>
      </c>
      <c r="N641" t="n">
        <v>0</v>
      </c>
      <c r="O641" t="n">
        <v>0</v>
      </c>
      <c r="P641" t="n">
        <v>0</v>
      </c>
      <c r="Q641" t="n">
        <v>0</v>
      </c>
      <c r="R641" s="2" t="inlineStr"/>
    </row>
    <row r="642" ht="15" customHeight="1">
      <c r="A642" t="inlineStr">
        <is>
          <t>A 38790-2024</t>
        </is>
      </c>
      <c r="B642" s="1" t="n">
        <v>45547.48450231482</v>
      </c>
      <c r="C642" s="1" t="n">
        <v>46089</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71269-2021</t>
        </is>
      </c>
      <c r="B643" s="1" t="n">
        <v>44539</v>
      </c>
      <c r="C643" s="1" t="n">
        <v>46089</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30316-2024</t>
        </is>
      </c>
      <c r="B644" s="1" t="n">
        <v>45490</v>
      </c>
      <c r="C644" s="1" t="n">
        <v>46089</v>
      </c>
      <c r="D644" t="inlineStr">
        <is>
          <t>ÖREBRO LÄN</t>
        </is>
      </c>
      <c r="E644" t="inlineStr">
        <is>
          <t>ÖREBRO</t>
        </is>
      </c>
      <c r="G644" t="n">
        <v>5.5</v>
      </c>
      <c r="H644" t="n">
        <v>0</v>
      </c>
      <c r="I644" t="n">
        <v>0</v>
      </c>
      <c r="J644" t="n">
        <v>0</v>
      </c>
      <c r="K644" t="n">
        <v>0</v>
      </c>
      <c r="L644" t="n">
        <v>0</v>
      </c>
      <c r="M644" t="n">
        <v>0</v>
      </c>
      <c r="N644" t="n">
        <v>0</v>
      </c>
      <c r="O644" t="n">
        <v>0</v>
      </c>
      <c r="P644" t="n">
        <v>0</v>
      </c>
      <c r="Q644" t="n">
        <v>0</v>
      </c>
      <c r="R644" s="2" t="inlineStr"/>
    </row>
    <row r="645" ht="15" customHeight="1">
      <c r="A645" t="inlineStr">
        <is>
          <t>A 44199-2024</t>
        </is>
      </c>
      <c r="B645" s="1" t="n">
        <v>45573</v>
      </c>
      <c r="C645" s="1" t="n">
        <v>46089</v>
      </c>
      <c r="D645" t="inlineStr">
        <is>
          <t>ÖREBRO LÄN</t>
        </is>
      </c>
      <c r="E645" t="inlineStr">
        <is>
          <t>ÖREBRO</t>
        </is>
      </c>
      <c r="G645" t="n">
        <v>4.3</v>
      </c>
      <c r="H645" t="n">
        <v>0</v>
      </c>
      <c r="I645" t="n">
        <v>0</v>
      </c>
      <c r="J645" t="n">
        <v>0</v>
      </c>
      <c r="K645" t="n">
        <v>0</v>
      </c>
      <c r="L645" t="n">
        <v>0</v>
      </c>
      <c r="M645" t="n">
        <v>0</v>
      </c>
      <c r="N645" t="n">
        <v>0</v>
      </c>
      <c r="O645" t="n">
        <v>0</v>
      </c>
      <c r="P645" t="n">
        <v>0</v>
      </c>
      <c r="Q645" t="n">
        <v>0</v>
      </c>
      <c r="R645" s="2" t="inlineStr"/>
    </row>
    <row r="646" ht="15" customHeight="1">
      <c r="A646" t="inlineStr">
        <is>
          <t>A 4380-2025</t>
        </is>
      </c>
      <c r="B646" s="1" t="n">
        <v>45686.3959375</v>
      </c>
      <c r="C646" s="1" t="n">
        <v>46089</v>
      </c>
      <c r="D646" t="inlineStr">
        <is>
          <t>ÖREBRO LÄN</t>
        </is>
      </c>
      <c r="E646" t="inlineStr">
        <is>
          <t>ÖREBRO</t>
        </is>
      </c>
      <c r="G646" t="n">
        <v>3.2</v>
      </c>
      <c r="H646" t="n">
        <v>0</v>
      </c>
      <c r="I646" t="n">
        <v>0</v>
      </c>
      <c r="J646" t="n">
        <v>0</v>
      </c>
      <c r="K646" t="n">
        <v>0</v>
      </c>
      <c r="L646" t="n">
        <v>0</v>
      </c>
      <c r="M646" t="n">
        <v>0</v>
      </c>
      <c r="N646" t="n">
        <v>0</v>
      </c>
      <c r="O646" t="n">
        <v>0</v>
      </c>
      <c r="P646" t="n">
        <v>0</v>
      </c>
      <c r="Q646" t="n">
        <v>0</v>
      </c>
      <c r="R646" s="2" t="inlineStr"/>
    </row>
    <row r="647" ht="15" customHeight="1">
      <c r="A647" t="inlineStr">
        <is>
          <t>A 26443-2024</t>
        </is>
      </c>
      <c r="B647" s="1" t="n">
        <v>45469.49901620371</v>
      </c>
      <c r="C647" s="1" t="n">
        <v>46089</v>
      </c>
      <c r="D647" t="inlineStr">
        <is>
          <t>ÖREBRO LÄN</t>
        </is>
      </c>
      <c r="E647" t="inlineStr">
        <is>
          <t>ÖREBRO</t>
        </is>
      </c>
      <c r="G647" t="n">
        <v>5.7</v>
      </c>
      <c r="H647" t="n">
        <v>0</v>
      </c>
      <c r="I647" t="n">
        <v>0</v>
      </c>
      <c r="J647" t="n">
        <v>0</v>
      </c>
      <c r="K647" t="n">
        <v>0</v>
      </c>
      <c r="L647" t="n">
        <v>0</v>
      </c>
      <c r="M647" t="n">
        <v>0</v>
      </c>
      <c r="N647" t="n">
        <v>0</v>
      </c>
      <c r="O647" t="n">
        <v>0</v>
      </c>
      <c r="P647" t="n">
        <v>0</v>
      </c>
      <c r="Q647" t="n">
        <v>0</v>
      </c>
      <c r="R647" s="2" t="inlineStr"/>
    </row>
    <row r="648" ht="15" customHeight="1">
      <c r="A648" t="inlineStr">
        <is>
          <t>A 5136-2024</t>
        </is>
      </c>
      <c r="B648" s="1" t="n">
        <v>45330</v>
      </c>
      <c r="C648" s="1" t="n">
        <v>46089</v>
      </c>
      <c r="D648" t="inlineStr">
        <is>
          <t>ÖREBRO LÄN</t>
        </is>
      </c>
      <c r="E648" t="inlineStr">
        <is>
          <t>ÖREBRO</t>
        </is>
      </c>
      <c r="G648" t="n">
        <v>2.1</v>
      </c>
      <c r="H648" t="n">
        <v>0</v>
      </c>
      <c r="I648" t="n">
        <v>0</v>
      </c>
      <c r="J648" t="n">
        <v>0</v>
      </c>
      <c r="K648" t="n">
        <v>0</v>
      </c>
      <c r="L648" t="n">
        <v>0</v>
      </c>
      <c r="M648" t="n">
        <v>0</v>
      </c>
      <c r="N648" t="n">
        <v>0</v>
      </c>
      <c r="O648" t="n">
        <v>0</v>
      </c>
      <c r="P648" t="n">
        <v>0</v>
      </c>
      <c r="Q648" t="n">
        <v>0</v>
      </c>
      <c r="R648" s="2" t="inlineStr"/>
    </row>
    <row r="649">
      <c r="A649" t="inlineStr">
        <is>
          <t>A 35477-2024</t>
        </is>
      </c>
      <c r="B649" s="1" t="n">
        <v>45531</v>
      </c>
      <c r="C649" s="1" t="n">
        <v>46089</v>
      </c>
      <c r="D649" t="inlineStr">
        <is>
          <t>ÖREBRO LÄN</t>
        </is>
      </c>
      <c r="E649" t="inlineStr">
        <is>
          <t>ÖREBRO</t>
        </is>
      </c>
      <c r="G649" t="n">
        <v>2.4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2026-03-08T11:21:32Z</dcterms:created>
  <dcterms:modified xmlns:dcterms="http://purl.org/dc/terms/" xmlns:xsi="http://www.w3.org/2001/XMLSchema-instance" xsi:type="dcterms:W3CDTF">2026-03-08T11:21:32Z</dcterms:modified>
</cp:coreProperties>
</file>