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45338</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45338</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45338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45338</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45338</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45338</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45338</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45338</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45338</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45338</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45338</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45338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45338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45338</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45338</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45338</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45338</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45338</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45338</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5354-2024</t>
        </is>
      </c>
      <c r="B21" s="1" t="n">
        <v>45331</v>
      </c>
      <c r="C21" s="1" t="n">
        <v>45338</v>
      </c>
      <c r="D21" t="inlineStr">
        <is>
          <t>ÖREBRO LÄN</t>
        </is>
      </c>
      <c r="E21" t="inlineStr">
        <is>
          <t>ÖREBRO</t>
        </is>
      </c>
      <c r="G21" t="n">
        <v>1.1</v>
      </c>
      <c r="H21" t="n">
        <v>1</v>
      </c>
      <c r="I21" t="n">
        <v>1</v>
      </c>
      <c r="J21" t="n">
        <v>1</v>
      </c>
      <c r="K21" t="n">
        <v>1</v>
      </c>
      <c r="L21" t="n">
        <v>0</v>
      </c>
      <c r="M21" t="n">
        <v>0</v>
      </c>
      <c r="N21" t="n">
        <v>0</v>
      </c>
      <c r="O21" t="n">
        <v>2</v>
      </c>
      <c r="P21" t="n">
        <v>1</v>
      </c>
      <c r="Q21" t="n">
        <v>4</v>
      </c>
      <c r="R21" s="2" t="inlineStr">
        <is>
          <t>Rynkskinn
Kilporing
Kornknutmossa
Fläcknycklar</t>
        </is>
      </c>
      <c r="S21">
        <f>HYPERLINK("https://klasma.github.io/Logging_1880/artfynd/A 5354-2024 artfynd.xlsx", "A 5354-2024")</f>
        <v/>
      </c>
      <c r="T21">
        <f>HYPERLINK("https://klasma.github.io/Logging_1880/kartor/A 5354-2024 karta.png", "A 5354-2024")</f>
        <v/>
      </c>
      <c r="V21">
        <f>HYPERLINK("https://klasma.github.io/Logging_1880/klagomål/A 5354-2024 FSC-klagomål.docx", "A 5354-2024")</f>
        <v/>
      </c>
      <c r="W21">
        <f>HYPERLINK("https://klasma.github.io/Logging_1880/klagomålsmail/A 5354-2024 FSC-klagomål mail.docx", "A 5354-2024")</f>
        <v/>
      </c>
      <c r="X21">
        <f>HYPERLINK("https://klasma.github.io/Logging_1880/tillsyn/A 5354-2024 tillsynsbegäran.docx", "A 5354-2024")</f>
        <v/>
      </c>
      <c r="Y21">
        <f>HYPERLINK("https://klasma.github.io/Logging_1880/tillsynsmail/A 5354-2024 tillsynsbegäran mail.docx", "A 5354-2024")</f>
        <v/>
      </c>
    </row>
    <row r="22" ht="15" customHeight="1">
      <c r="A22" t="inlineStr">
        <is>
          <t>A 35545-2019</t>
        </is>
      </c>
      <c r="B22" s="1" t="n">
        <v>43654</v>
      </c>
      <c r="C22" s="1" t="n">
        <v>45338</v>
      </c>
      <c r="D22" t="inlineStr">
        <is>
          <t>ÖREBRO LÄN</t>
        </is>
      </c>
      <c r="E22" t="inlineStr">
        <is>
          <t>ÖREBRO</t>
        </is>
      </c>
      <c r="F22" t="inlineStr">
        <is>
          <t>Kommuner</t>
        </is>
      </c>
      <c r="G22" t="n">
        <v>2.7</v>
      </c>
      <c r="H22" t="n">
        <v>1</v>
      </c>
      <c r="I22" t="n">
        <v>1</v>
      </c>
      <c r="J22" t="n">
        <v>2</v>
      </c>
      <c r="K22" t="n">
        <v>0</v>
      </c>
      <c r="L22" t="n">
        <v>0</v>
      </c>
      <c r="M22" t="n">
        <v>0</v>
      </c>
      <c r="N22" t="n">
        <v>0</v>
      </c>
      <c r="O22" t="n">
        <v>2</v>
      </c>
      <c r="P22" t="n">
        <v>0</v>
      </c>
      <c r="Q22" t="n">
        <v>3</v>
      </c>
      <c r="R22" s="2" t="inlineStr">
        <is>
          <t>Spillkråka
Tallticka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1309-2020</t>
        </is>
      </c>
      <c r="B23" s="1" t="n">
        <v>43843</v>
      </c>
      <c r="C23" s="1" t="n">
        <v>45338</v>
      </c>
      <c r="D23" t="inlineStr">
        <is>
          <t>ÖREBRO LÄN</t>
        </is>
      </c>
      <c r="E23" t="inlineStr">
        <is>
          <t>ÖREBRO</t>
        </is>
      </c>
      <c r="G23" t="n">
        <v>16.5</v>
      </c>
      <c r="H23" t="n">
        <v>1</v>
      </c>
      <c r="I23" t="n">
        <v>1</v>
      </c>
      <c r="J23" t="n">
        <v>1</v>
      </c>
      <c r="K23" t="n">
        <v>0</v>
      </c>
      <c r="L23" t="n">
        <v>0</v>
      </c>
      <c r="M23" t="n">
        <v>0</v>
      </c>
      <c r="N23" t="n">
        <v>0</v>
      </c>
      <c r="O23" t="n">
        <v>1</v>
      </c>
      <c r="P23" t="n">
        <v>0</v>
      </c>
      <c r="Q23" t="n">
        <v>3</v>
      </c>
      <c r="R23" s="2" t="inlineStr">
        <is>
          <t>Vedskivlav
Nästlav
Revlummer</t>
        </is>
      </c>
      <c r="S23">
        <f>HYPERLINK("https://klasma.github.io/Logging_1880/artfynd/A 1309-2020 artfynd.xlsx", "A 1309-2020")</f>
        <v/>
      </c>
      <c r="T23">
        <f>HYPERLINK("https://klasma.github.io/Logging_1880/kartor/A 1309-2020 karta.png", "A 1309-2020")</f>
        <v/>
      </c>
      <c r="V23">
        <f>HYPERLINK("https://klasma.github.io/Logging_1880/klagomål/A 1309-2020 FSC-klagomål.docx", "A 1309-2020")</f>
        <v/>
      </c>
      <c r="W23">
        <f>HYPERLINK("https://klasma.github.io/Logging_1880/klagomålsmail/A 1309-2020 FSC-klagomål mail.docx", "A 1309-2020")</f>
        <v/>
      </c>
      <c r="X23">
        <f>HYPERLINK("https://klasma.github.io/Logging_1880/tillsyn/A 1309-2020 tillsynsbegäran.docx", "A 1309-2020")</f>
        <v/>
      </c>
      <c r="Y23">
        <f>HYPERLINK("https://klasma.github.io/Logging_1880/tillsynsmail/A 1309-2020 tillsynsbegäran mail.docx", "A 1309-2020")</f>
        <v/>
      </c>
    </row>
    <row r="24" ht="15" customHeight="1">
      <c r="A24" t="inlineStr">
        <is>
          <t>A 19244-2020</t>
        </is>
      </c>
      <c r="B24" s="1" t="n">
        <v>43936</v>
      </c>
      <c r="C24" s="1" t="n">
        <v>45338</v>
      </c>
      <c r="D24" t="inlineStr">
        <is>
          <t>ÖREBRO LÄN</t>
        </is>
      </c>
      <c r="E24" t="inlineStr">
        <is>
          <t>ÖREBRO</t>
        </is>
      </c>
      <c r="F24" t="inlineStr">
        <is>
          <t>Kommuner</t>
        </is>
      </c>
      <c r="G24" t="n">
        <v>13.7</v>
      </c>
      <c r="H24" t="n">
        <v>0</v>
      </c>
      <c r="I24" t="n">
        <v>2</v>
      </c>
      <c r="J24" t="n">
        <v>1</v>
      </c>
      <c r="K24" t="n">
        <v>0</v>
      </c>
      <c r="L24" t="n">
        <v>0</v>
      </c>
      <c r="M24" t="n">
        <v>0</v>
      </c>
      <c r="N24" t="n">
        <v>0</v>
      </c>
      <c r="O24" t="n">
        <v>1</v>
      </c>
      <c r="P24" t="n">
        <v>0</v>
      </c>
      <c r="Q24" t="n">
        <v>3</v>
      </c>
      <c r="R24" s="2" t="inlineStr">
        <is>
          <t>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row>
    <row r="25" ht="15" customHeight="1">
      <c r="A25" t="inlineStr">
        <is>
          <t>A 20838-2021</t>
        </is>
      </c>
      <c r="B25" s="1" t="n">
        <v>44319</v>
      </c>
      <c r="C25" s="1" t="n">
        <v>45338</v>
      </c>
      <c r="D25" t="inlineStr">
        <is>
          <t>ÖREBRO LÄN</t>
        </is>
      </c>
      <c r="E25" t="inlineStr">
        <is>
          <t>ÖREBRO</t>
        </is>
      </c>
      <c r="G25" t="n">
        <v>1.9</v>
      </c>
      <c r="H25" t="n">
        <v>0</v>
      </c>
      <c r="I25" t="n">
        <v>3</v>
      </c>
      <c r="J25" t="n">
        <v>0</v>
      </c>
      <c r="K25" t="n">
        <v>0</v>
      </c>
      <c r="L25" t="n">
        <v>0</v>
      </c>
      <c r="M25" t="n">
        <v>0</v>
      </c>
      <c r="N25" t="n">
        <v>0</v>
      </c>
      <c r="O25" t="n">
        <v>0</v>
      </c>
      <c r="P25" t="n">
        <v>0</v>
      </c>
      <c r="Q25" t="n">
        <v>3</v>
      </c>
      <c r="R25" s="2" t="inlineStr">
        <is>
          <t>Fjällig taggsvamp s.str.
Rödgul trumpetsvamp
Toppvaxskivling</t>
        </is>
      </c>
      <c r="S25">
        <f>HYPERLINK("https://klasma.github.io/Logging_1880/artfynd/A 20838-2021 artfynd.xlsx", "A 20838-2021")</f>
        <v/>
      </c>
      <c r="T25">
        <f>HYPERLINK("https://klasma.github.io/Logging_1880/kartor/A 20838-2021 karta.png", "A 20838-2021")</f>
        <v/>
      </c>
      <c r="V25">
        <f>HYPERLINK("https://klasma.github.io/Logging_1880/klagomål/A 20838-2021 FSC-klagomål.docx", "A 20838-2021")</f>
        <v/>
      </c>
      <c r="W25">
        <f>HYPERLINK("https://klasma.github.io/Logging_1880/klagomålsmail/A 20838-2021 FSC-klagomål mail.docx", "A 20838-2021")</f>
        <v/>
      </c>
      <c r="X25">
        <f>HYPERLINK("https://klasma.github.io/Logging_1880/tillsyn/A 20838-2021 tillsynsbegäran.docx", "A 20838-2021")</f>
        <v/>
      </c>
      <c r="Y25">
        <f>HYPERLINK("https://klasma.github.io/Logging_1880/tillsynsmail/A 20838-2021 tillsynsbegäran mail.docx", "A 20838-2021")</f>
        <v/>
      </c>
    </row>
    <row r="26" ht="15" customHeight="1">
      <c r="A26" t="inlineStr">
        <is>
          <t>A 24677-2022</t>
        </is>
      </c>
      <c r="B26" s="1" t="n">
        <v>44727</v>
      </c>
      <c r="C26" s="1" t="n">
        <v>45338</v>
      </c>
      <c r="D26" t="inlineStr">
        <is>
          <t>ÖREBRO LÄN</t>
        </is>
      </c>
      <c r="E26" t="inlineStr">
        <is>
          <t>ÖREBRO</t>
        </is>
      </c>
      <c r="G26" t="n">
        <v>3.3</v>
      </c>
      <c r="H26" t="n">
        <v>0</v>
      </c>
      <c r="I26" t="n">
        <v>1</v>
      </c>
      <c r="J26" t="n">
        <v>2</v>
      </c>
      <c r="K26" t="n">
        <v>0</v>
      </c>
      <c r="L26" t="n">
        <v>0</v>
      </c>
      <c r="M26" t="n">
        <v>0</v>
      </c>
      <c r="N26" t="n">
        <v>0</v>
      </c>
      <c r="O26" t="n">
        <v>2</v>
      </c>
      <c r="P26" t="n">
        <v>0</v>
      </c>
      <c r="Q26" t="n">
        <v>3</v>
      </c>
      <c r="R26" s="2" t="inlineStr">
        <is>
          <t>Motaggsvamp
Vedskivlav
Dropptaggsvamp</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row>
    <row r="27" ht="15" customHeight="1">
      <c r="A27" t="inlineStr">
        <is>
          <t>A 29487-2022</t>
        </is>
      </c>
      <c r="B27" s="1" t="n">
        <v>44753</v>
      </c>
      <c r="C27" s="1" t="n">
        <v>45338</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45338</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45338</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45338</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45338</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45338</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45338</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45338</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45338</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45338</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45338</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45338</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45338</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45338</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45338</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45338</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45338</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45338</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45338</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45338</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45338</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45338</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45338</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45338</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45338</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45338</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45338</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45338</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45338</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45338</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45338</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45338</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45338</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45338</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45338</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45338</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45338</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45338</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45338</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45338</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45338</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45338</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45338</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45338</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45338</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45338</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45338</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45338</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45338</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45338</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45338</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45338</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45338</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45338</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45338</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45338</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45338</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45338</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45338</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45338</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45338</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45338</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45338</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45338</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45338</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45338</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45338</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45338</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45338</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45338</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45338</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45338</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45338</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45338</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45338</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45338</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45338</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45338</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45338</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45338</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45338</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45338</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45338</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45338</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45338</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45338</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45338</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45338</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45338</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45338</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45338</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45338</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45338</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45338</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45338</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45338</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45338</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45338</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45338</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45338</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45338</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45338</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45338</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45338</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45338</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45338</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45338</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45338</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45338</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45338</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45338</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45338</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45338</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45338</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45338</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45338</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45338</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45338</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45338</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45338</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45338</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45338</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45338</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45338</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45338</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45338</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45338</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45338</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45338</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45338</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45338</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45338</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45338</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45338</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45338</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45338</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45338</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45338</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45338</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45338</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45338</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45338</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45338</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45338</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45338</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45338</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45338</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45338</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45338</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45338</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45338</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45338</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45338</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45338</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45338</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45338</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45338</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45338</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45338</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45338</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45338</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45338</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45338</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45338</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45338</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45338</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45338</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45338</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45338</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45338</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45338</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45338</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45338</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45338</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45338</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45338</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45338</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45338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45338</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45338</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45338</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45338</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45338</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45338</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45338</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45338</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45338</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45338</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45338</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45338</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45338</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45338</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45338</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45338</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45338</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45338</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45338</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45338</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45338</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45338</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45338</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45338</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45338</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45338</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45338</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45338</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45338</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45338</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45338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45338</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45338</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45338</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45338</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45338</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45338</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45338</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45338</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45338</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45338</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45338</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45338</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45338</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45338</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45338</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45338</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45338</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45338</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45338</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45338</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45338</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45338</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45338</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45338</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45338</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45338</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45338</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45338</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45338</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45338</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45338</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45338</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45338</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45338</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45338</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45338</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45338</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45338</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45338</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45338</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45338</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45338</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45338</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45338</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45338</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45338</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45338</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45338</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45338</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45338</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45338</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45338</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45338</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45338</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45338</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45338</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45338</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45338</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45338</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45338</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45338</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45338</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45338</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45338</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45338</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45338</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45338</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45338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45338</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45338</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45338</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45338</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45338</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45338</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45338</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45338</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45338</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45338</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45338</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45338</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45338</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45338</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45338</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45338</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45338</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45338</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45338</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45338</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45338</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45338</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45338</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45338</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45338</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45338</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45338</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45338</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45338</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45338</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45338</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45338</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45338</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45338</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45338</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45338</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45338</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45338</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45338</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45338</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45338</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45338</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45338</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45338</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45338</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45338</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45338</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45338</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45338</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45338</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45338</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45338</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45338</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45338</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45338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45338</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45338</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45338</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45338</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45338</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45338</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45338</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45338</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45338</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45338</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45338</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45338</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45338</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45338</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45338</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45338</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45338</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45338</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45338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45338</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45338</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45338</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45338</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45338</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45338</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45338</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45338</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45338</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45338</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45338</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45338</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45338</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45338</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45338</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45338</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45338</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45338</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45338</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45338</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45338</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45338</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45338</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45338</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45338</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45338</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45338</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45338</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45338</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45338</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45338</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45338</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45338</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45338</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45338</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45338</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45338</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45338</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45338</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45338</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45338</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45338</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45338</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45338</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45338</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45338</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45338</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45338</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45338</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45338</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45338</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45338</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45338</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45338</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45338</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45338</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45338</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45338</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45338</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45338</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45338</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45338</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45338</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45338</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45338</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45338</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45338</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45338</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45338</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45338</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45338</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45338</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45338</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45338</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45338</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45338</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45338</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45338</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45338</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45338</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45338</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45338</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45338</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45338</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45338</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45338</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45338</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45338</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45338</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45338</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45338</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45338</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45338</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45338</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45338</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45338</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45338</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45338</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45338</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45338</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45338</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45338</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45338</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45338</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45338</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45338</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45338</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45338</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45338</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45338</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45338</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45338</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45338</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45338</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45338</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45338</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45338</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45338</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45338</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45338</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45338</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45338</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45338</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45338</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45338</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45338</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45338</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45338</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45338</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45338</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45338</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45338</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45338</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45338</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45338</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45338</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45338</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45338</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45338</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45338</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45338</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45338</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45338</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45338</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45338</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45338</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45338</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45338</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45338</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45338</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45338</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45338</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45338</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45338</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45338</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45338</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45338</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45338</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45338</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45338</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45338</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45338</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45338</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45338</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45338</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45338</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45338</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45338</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45338</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45338</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45338</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45338</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45338</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45338</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45338</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45338</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45338</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45338</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45338</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45338</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45338</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45338</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45338</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45338</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45338</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45338</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45338</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45338</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45338</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45338</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45338</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45338</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45338</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45338</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45338</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45338</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45338</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45338</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45338</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45338</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45338</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45338</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45338</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45338</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45338</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45338</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45338</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45338</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45338</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45338</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45338</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45338</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45338</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45338</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45338</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45338</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45338</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45338</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45338</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45338</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45338</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45338</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45338</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45338</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45338</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45338</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45338</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45338</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45338</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45338</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45338</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45338</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45338</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45338</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45338</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45338</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45338</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45338</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45338</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45338</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45338</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45338</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45338</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45338</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45338</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45338</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45338</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45338</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45338</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45338</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45338</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45338</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45338</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45338</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45338</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45338</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45338</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45338</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45338</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45338</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45338</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45338</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45338</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45338</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45338</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45338</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45338</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45338</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45338</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45338</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45338</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45338</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45338</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45338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45338</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45338</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45338</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45338</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45338</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45338</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45338</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45338</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45338</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45338</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45338</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45338</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45338</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45338</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45338</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45338</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45338</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45338</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45338</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45338</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45338</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45338</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45338</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45338</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45338</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45338</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45338</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45338</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45338</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45338</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45338</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45338</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45338</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45338</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45338</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45338</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45338</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45338</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45338</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45338</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45338</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45338</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45338</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45338</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45338</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45338</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45338</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45338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45338</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45338</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45338</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45338</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45338</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45338</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45338</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45338</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45338</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45338</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45338</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45338</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45338</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45338</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45338</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45338</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45338</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45338</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45338</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45338</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45338</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45338</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45338</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45338</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45338</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45338</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45338</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45338</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45338</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45338</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45338</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45338</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45338</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45338</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45338</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45338</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45338</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45338</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45338</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45338</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45338</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45338</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45338</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45338</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45338</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45338</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45338</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45338</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45338</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45338</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45338</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45338</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45338</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45338</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45338</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45338</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45338</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45338</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45338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45338</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45338</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45338</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45338</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45338</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45338</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45338</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45338</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45338</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45338</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45338</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45338</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45338</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45338</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45338</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45338</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45338</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45338</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45338</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45338</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45338</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45338</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45338</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45338</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45338</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45338</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45338</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45338</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45338</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45338</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45338</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45338</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45338</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45338</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45338</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45338</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45338</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45338</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45338</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45338</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45338</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45338</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45338</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45338</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45338</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45338</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45338</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45338</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45338</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45338</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45338</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45338</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45338</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45338</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45338</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45338</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45338</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45338</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45338</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45338</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45338</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45338</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45338</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45338</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45338</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45338</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45338</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45338</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45338</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45338</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45338</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45338</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45338</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45338</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45338</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45338</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45338</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45338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45338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45338</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45338</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45338</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45338</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45338</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45338</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45338</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45338</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45338</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45338</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45338</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45338</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45338</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45338</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45338</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45338</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45338</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45338</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45338</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45338</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45338</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45338</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45338</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45338</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45338</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45338</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45338</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45338</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45338</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45338</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45338</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45338</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45338</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45338</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45338</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45338</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45338</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45338</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45338</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45338</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45338</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45338</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45338</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45338</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45338</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45338</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45338</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45338</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45338</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45338</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45338</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45338</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45338</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45338</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45338</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45338</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45338</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45338</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45338</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45338</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45338</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45338</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45338</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45338</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45338</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45338</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45338</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45338</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45338</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45338</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45338</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45338</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45338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45338</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45338</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45338</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45338</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45338</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45338</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45338</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45338</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45338</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45338</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45338</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45338</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45338</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45338</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45338</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45338</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45338</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45338</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45338</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45338</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45338</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45338</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45338</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45338</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45338</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45338</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45338</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45338</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45338</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45338</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45338</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45338</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45338</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45338</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45338</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45338</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45338</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45338</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45338</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45338</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45338</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45338</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45338</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45338</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45338</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45338</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45338</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45338</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45338</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45338</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45338</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45338</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45338</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45338</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45338</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45338</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45338</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45338</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5113-2024</t>
        </is>
      </c>
      <c r="B969" s="1" t="n">
        <v>45330</v>
      </c>
      <c r="C969" s="1" t="n">
        <v>45338</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5125-2024</t>
        </is>
      </c>
      <c r="B970" s="1" t="n">
        <v>45330</v>
      </c>
      <c r="C970" s="1" t="n">
        <v>45338</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5129-2024</t>
        </is>
      </c>
      <c r="B971" s="1" t="n">
        <v>45330</v>
      </c>
      <c r="C971" s="1" t="n">
        <v>45338</v>
      </c>
      <c r="D971" t="inlineStr">
        <is>
          <t>ÖREBRO LÄN</t>
        </is>
      </c>
      <c r="E971" t="inlineStr">
        <is>
          <t>ÖREBRO</t>
        </is>
      </c>
      <c r="G971" t="n">
        <v>0.5</v>
      </c>
      <c r="H971" t="n">
        <v>0</v>
      </c>
      <c r="I971" t="n">
        <v>0</v>
      </c>
      <c r="J971" t="n">
        <v>0</v>
      </c>
      <c r="K971" t="n">
        <v>0</v>
      </c>
      <c r="L971" t="n">
        <v>0</v>
      </c>
      <c r="M971" t="n">
        <v>0</v>
      </c>
      <c r="N971" t="n">
        <v>0</v>
      </c>
      <c r="O971" t="n">
        <v>0</v>
      </c>
      <c r="P971" t="n">
        <v>0</v>
      </c>
      <c r="Q971" t="n">
        <v>0</v>
      </c>
      <c r="R971" s="2" t="inlineStr"/>
    </row>
    <row r="972" ht="15" customHeight="1">
      <c r="A972" t="inlineStr">
        <is>
          <t>A 5133-2024</t>
        </is>
      </c>
      <c r="B972" s="1" t="n">
        <v>45330</v>
      </c>
      <c r="C972" s="1" t="n">
        <v>45338</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5136-2024</t>
        </is>
      </c>
      <c r="B973" s="1" t="n">
        <v>45330</v>
      </c>
      <c r="C973" s="1" t="n">
        <v>45338</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5127-2024</t>
        </is>
      </c>
      <c r="B974" s="1" t="n">
        <v>45330</v>
      </c>
      <c r="C974" s="1" t="n">
        <v>45338</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45338</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45338</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5324-2024</t>
        </is>
      </c>
      <c r="B977" s="1" t="n">
        <v>45331</v>
      </c>
      <c r="C977" s="1" t="n">
        <v>45338</v>
      </c>
      <c r="D977" t="inlineStr">
        <is>
          <t>ÖREBRO LÄN</t>
        </is>
      </c>
      <c r="E977" t="inlineStr">
        <is>
          <t>ÖREBRO</t>
        </is>
      </c>
      <c r="G977" t="n">
        <v>1.5</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45338</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45338</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45338</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5578-2024</t>
        </is>
      </c>
      <c r="B981" s="1" t="n">
        <v>45334</v>
      </c>
      <c r="C981" s="1" t="n">
        <v>45338</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45338</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c r="A983" t="inlineStr">
        <is>
          <t>A 5795-2024</t>
        </is>
      </c>
      <c r="B983" s="1" t="n">
        <v>45335</v>
      </c>
      <c r="C983" s="1" t="n">
        <v>45338</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2024-02-16T16:04:15Z</dcterms:created>
  <dcterms:modified xmlns:dcterms="http://purl.org/dc/terms/" xmlns:xsi="http://www.w3.org/2001/XMLSchema-instance" xsi:type="dcterms:W3CDTF">2024-02-16T16:04:16Z</dcterms:modified>
</cp:coreProperties>
</file>