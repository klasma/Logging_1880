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46041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59520-2025</t>
        </is>
      </c>
      <c r="B8" s="1" t="n">
        <v>45989.65600694445</v>
      </c>
      <c r="C8" s="1" t="n">
        <v>46041</v>
      </c>
      <c r="D8" t="inlineStr">
        <is>
          <t>ÖREBRO LÄN</t>
        </is>
      </c>
      <c r="E8" t="inlineStr">
        <is>
          <t>ÖREBRO</t>
        </is>
      </c>
      <c r="F8" t="inlineStr">
        <is>
          <t>Sveaskog</t>
        </is>
      </c>
      <c r="G8" t="n">
        <v>1.7</v>
      </c>
      <c r="H8" t="n">
        <v>1</v>
      </c>
      <c r="I8" t="n">
        <v>3</v>
      </c>
      <c r="J8" t="n">
        <v>2</v>
      </c>
      <c r="K8" t="n">
        <v>0</v>
      </c>
      <c r="L8" t="n">
        <v>0</v>
      </c>
      <c r="M8" t="n">
        <v>0</v>
      </c>
      <c r="N8" t="n">
        <v>0</v>
      </c>
      <c r="O8" t="n">
        <v>2</v>
      </c>
      <c r="P8" t="n">
        <v>0</v>
      </c>
      <c r="Q8" t="n">
        <v>6</v>
      </c>
      <c r="R8" s="2" t="inlineStr">
        <is>
          <t>Dofttaggsvamp
Grantaggsvamp
Svavelriska
Sårläka
Tibast
Blåsippa</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55197-2023</t>
        </is>
      </c>
      <c r="B9" s="1" t="n">
        <v>45237</v>
      </c>
      <c r="C9" s="1" t="n">
        <v>46041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46041</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13166-2021</t>
        </is>
      </c>
      <c r="B11" s="1" t="n">
        <v>44272</v>
      </c>
      <c r="C11" s="1" t="n">
        <v>46041</v>
      </c>
      <c r="D11" t="inlineStr">
        <is>
          <t>ÖREBRO LÄN</t>
        </is>
      </c>
      <c r="E11" t="inlineStr">
        <is>
          <t>ÖREBRO</t>
        </is>
      </c>
      <c r="G11" t="n">
        <v>3</v>
      </c>
      <c r="H11" t="n">
        <v>1</v>
      </c>
      <c r="I11" t="n">
        <v>5</v>
      </c>
      <c r="J11" t="n">
        <v>0</v>
      </c>
      <c r="K11" t="n">
        <v>0</v>
      </c>
      <c r="L11" t="n">
        <v>0</v>
      </c>
      <c r="M11" t="n">
        <v>0</v>
      </c>
      <c r="N11" t="n">
        <v>0</v>
      </c>
      <c r="O11" t="n">
        <v>0</v>
      </c>
      <c r="P11" t="n">
        <v>0</v>
      </c>
      <c r="Q11" t="n">
        <v>6</v>
      </c>
      <c r="R11" s="2" t="inlineStr">
        <is>
          <t>Bronshjon
Dropptaggsvamp
Kattfotslav
Klippfrullania
Stor revmossa
Revlummer</t>
        </is>
      </c>
      <c r="S11">
        <f>HYPERLINK("https://klasma.github.io/Logging_1880/artfynd/A 13166-2021 artfynd.xlsx", "A 13166-2021")</f>
        <v/>
      </c>
      <c r="T11">
        <f>HYPERLINK("https://klasma.github.io/Logging_1880/kartor/A 13166-2021 karta.png", "A 13166-2021")</f>
        <v/>
      </c>
      <c r="V11">
        <f>HYPERLINK("https://klasma.github.io/Logging_1880/klagomål/A 13166-2021 FSC-klagomål.docx", "A 13166-2021")</f>
        <v/>
      </c>
      <c r="W11">
        <f>HYPERLINK("https://klasma.github.io/Logging_1880/klagomålsmail/A 13166-2021 FSC-klagomål mail.docx", "A 13166-2021")</f>
        <v/>
      </c>
      <c r="X11">
        <f>HYPERLINK("https://klasma.github.io/Logging_1880/tillsyn/A 13166-2021 tillsynsbegäran.docx", "A 13166-2021")</f>
        <v/>
      </c>
      <c r="Y11">
        <f>HYPERLINK("https://klasma.github.io/Logging_1880/tillsynsmail/A 13166-2021 tillsynsbegäran mail.docx", "A 13166-2021")</f>
        <v/>
      </c>
    </row>
    <row r="12" ht="15" customHeight="1">
      <c r="A12" t="inlineStr">
        <is>
          <t>A 3025-2026</t>
        </is>
      </c>
      <c r="B12" s="1" t="n">
        <v>46038.67769675926</v>
      </c>
      <c r="C12" s="1" t="n">
        <v>46041</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46041</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46041</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5354-2024</t>
        </is>
      </c>
      <c r="B15" s="1" t="n">
        <v>45331</v>
      </c>
      <c r="C15" s="1" t="n">
        <v>46041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46041</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46041</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12974-2022</t>
        </is>
      </c>
      <c r="B18" s="1" t="n">
        <v>44643.38490740741</v>
      </c>
      <c r="C18" s="1" t="n">
        <v>46041</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51530-2024</t>
        </is>
      </c>
      <c r="B19" s="1" t="n">
        <v>45604</v>
      </c>
      <c r="C19" s="1" t="n">
        <v>46041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46041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46041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46041</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46041</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45989.65541666667</v>
      </c>
      <c r="C25" s="1" t="n">
        <v>46041</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575-2024</t>
        </is>
      </c>
      <c r="B26" s="1" t="n">
        <v>45299</v>
      </c>
      <c r="C26" s="1" t="n">
        <v>46041</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50096-2023</t>
        </is>
      </c>
      <c r="B27" s="1" t="n">
        <v>45215</v>
      </c>
      <c r="C27" s="1" t="n">
        <v>46041</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46041</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46041</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46041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46041</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46041</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46041</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13395-2024</t>
        </is>
      </c>
      <c r="B36" s="1" t="n">
        <v>45387.42296296296</v>
      </c>
      <c r="C36" s="1" t="n">
        <v>46041</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22577-2024</t>
        </is>
      </c>
      <c r="B37" s="1" t="n">
        <v>45447</v>
      </c>
      <c r="C37" s="1" t="n">
        <v>46041</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60557-2025</t>
        </is>
      </c>
      <c r="B38" s="1" t="n">
        <v>45995.74444444444</v>
      </c>
      <c r="C38" s="1" t="n">
        <v>46041</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46041</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51550-2025</t>
        </is>
      </c>
      <c r="B40" s="1" t="n">
        <v>45950.83359953704</v>
      </c>
      <c r="C40" s="1" t="n">
        <v>46041</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8267-2021</t>
        </is>
      </c>
      <c r="B41" s="1" t="n">
        <v>44244</v>
      </c>
      <c r="C41" s="1" t="n">
        <v>46041</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46041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46041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46041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46041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30409-2025</t>
        </is>
      </c>
      <c r="B46" s="1" t="n">
        <v>45827.59738425926</v>
      </c>
      <c r="C46" s="1" t="n">
        <v>46041</v>
      </c>
      <c r="D46" t="inlineStr">
        <is>
          <t>ÖREBRO LÄN</t>
        </is>
      </c>
      <c r="E46" t="inlineStr">
        <is>
          <t>ÖREBRO</t>
        </is>
      </c>
      <c r="G46" t="n">
        <v>1.2</v>
      </c>
      <c r="H46" t="n">
        <v>0</v>
      </c>
      <c r="I46" t="n">
        <v>1</v>
      </c>
      <c r="J46" t="n">
        <v>1</v>
      </c>
      <c r="K46" t="n">
        <v>0</v>
      </c>
      <c r="L46" t="n">
        <v>0</v>
      </c>
      <c r="M46" t="n">
        <v>0</v>
      </c>
      <c r="N46" t="n">
        <v>0</v>
      </c>
      <c r="O46" t="n">
        <v>1</v>
      </c>
      <c r="P46" t="n">
        <v>0</v>
      </c>
      <c r="Q46" t="n">
        <v>2</v>
      </c>
      <c r="R46" s="2" t="inlineStr">
        <is>
          <t>Scharlakansvaxing
Gulfotsskölding</t>
        </is>
      </c>
      <c r="S46">
        <f>HYPERLINK("https://klasma.github.io/Logging_1880/artfynd/A 30409-2025 artfynd.xlsx", "A 30409-2025")</f>
        <v/>
      </c>
      <c r="T46">
        <f>HYPERLINK("https://klasma.github.io/Logging_1880/kartor/A 30409-2025 karta.png", "A 30409-2025")</f>
        <v/>
      </c>
      <c r="V46">
        <f>HYPERLINK("https://klasma.github.io/Logging_1880/klagomål/A 30409-2025 FSC-klagomål.docx", "A 30409-2025")</f>
        <v/>
      </c>
      <c r="W46">
        <f>HYPERLINK("https://klasma.github.io/Logging_1880/klagomålsmail/A 30409-2025 FSC-klagomål mail.docx", "A 30409-2025")</f>
        <v/>
      </c>
      <c r="X46">
        <f>HYPERLINK("https://klasma.github.io/Logging_1880/tillsyn/A 30409-2025 tillsynsbegäran.docx", "A 30409-2025")</f>
        <v/>
      </c>
      <c r="Y46">
        <f>HYPERLINK("https://klasma.github.io/Logging_1880/tillsynsmail/A 30409-2025 tillsynsbegäran mail.docx", "A 30409-2025")</f>
        <v/>
      </c>
    </row>
    <row r="47" ht="15" customHeight="1">
      <c r="A47" t="inlineStr">
        <is>
          <t>A 29704-2022</t>
        </is>
      </c>
      <c r="B47" s="1" t="n">
        <v>44755</v>
      </c>
      <c r="C47" s="1" t="n">
        <v>46041</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6926-2021</t>
        </is>
      </c>
      <c r="B48" s="1" t="n">
        <v>44237</v>
      </c>
      <c r="C48" s="1" t="n">
        <v>46041</v>
      </c>
      <c r="D48" t="inlineStr">
        <is>
          <t>ÖREBRO LÄN</t>
        </is>
      </c>
      <c r="E48" t="inlineStr">
        <is>
          <t>ÖREBRO</t>
        </is>
      </c>
      <c r="G48" t="n">
        <v>0.9</v>
      </c>
      <c r="H48" t="n">
        <v>1</v>
      </c>
      <c r="I48" t="n">
        <v>1</v>
      </c>
      <c r="J48" t="n">
        <v>0</v>
      </c>
      <c r="K48" t="n">
        <v>0</v>
      </c>
      <c r="L48" t="n">
        <v>0</v>
      </c>
      <c r="M48" t="n">
        <v>0</v>
      </c>
      <c r="N48" t="n">
        <v>0</v>
      </c>
      <c r="O48" t="n">
        <v>0</v>
      </c>
      <c r="P48" t="n">
        <v>0</v>
      </c>
      <c r="Q48" t="n">
        <v>1</v>
      </c>
      <c r="R48" s="2" t="inlineStr">
        <is>
          <t>Skogsknipprot</t>
        </is>
      </c>
      <c r="S48">
        <f>HYPERLINK("https://klasma.github.io/Logging_1880/artfynd/A 6926-2021 artfynd.xlsx", "A 6926-2021")</f>
        <v/>
      </c>
      <c r="T48">
        <f>HYPERLINK("https://klasma.github.io/Logging_1880/kartor/A 6926-2021 karta.png", "A 6926-2021")</f>
        <v/>
      </c>
      <c r="V48">
        <f>HYPERLINK("https://klasma.github.io/Logging_1880/klagomål/A 6926-2021 FSC-klagomål.docx", "A 6926-2021")</f>
        <v/>
      </c>
      <c r="W48">
        <f>HYPERLINK("https://klasma.github.io/Logging_1880/klagomålsmail/A 6926-2021 FSC-klagomål mail.docx", "A 6926-2021")</f>
        <v/>
      </c>
      <c r="X48">
        <f>HYPERLINK("https://klasma.github.io/Logging_1880/tillsyn/A 6926-2021 tillsynsbegäran.docx", "A 6926-2021")</f>
        <v/>
      </c>
      <c r="Y48">
        <f>HYPERLINK("https://klasma.github.io/Logging_1880/tillsynsmail/A 6926-2021 tillsynsbegäran mail.docx", "A 6926-2021")</f>
        <v/>
      </c>
    </row>
    <row r="49" ht="15" customHeight="1">
      <c r="A49" t="inlineStr">
        <is>
          <t>A 20032-2023</t>
        </is>
      </c>
      <c r="B49" s="1" t="n">
        <v>45054</v>
      </c>
      <c r="C49" s="1" t="n">
        <v>46041</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46041</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46041</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58838-2025</t>
        </is>
      </c>
      <c r="B52" s="1" t="n">
        <v>45987.35973379629</v>
      </c>
      <c r="C52" s="1" t="n">
        <v>46041</v>
      </c>
      <c r="D52" t="inlineStr">
        <is>
          <t>ÖREBRO LÄN</t>
        </is>
      </c>
      <c r="E52" t="inlineStr">
        <is>
          <t>ÖREBRO</t>
        </is>
      </c>
      <c r="G52" t="n">
        <v>1.7</v>
      </c>
      <c r="H52" t="n">
        <v>0</v>
      </c>
      <c r="I52" t="n">
        <v>1</v>
      </c>
      <c r="J52" t="n">
        <v>0</v>
      </c>
      <c r="K52" t="n">
        <v>0</v>
      </c>
      <c r="L52" t="n">
        <v>0</v>
      </c>
      <c r="M52" t="n">
        <v>0</v>
      </c>
      <c r="N52" t="n">
        <v>0</v>
      </c>
      <c r="O52" t="n">
        <v>0</v>
      </c>
      <c r="P52" t="n">
        <v>0</v>
      </c>
      <c r="Q52" t="n">
        <v>1</v>
      </c>
      <c r="R52" s="2" t="inlineStr">
        <is>
          <t>Grönpyrola</t>
        </is>
      </c>
      <c r="S52">
        <f>HYPERLINK("https://klasma.github.io/Logging_1880/artfynd/A 58838-2025 artfynd.xlsx", "A 58838-2025")</f>
        <v/>
      </c>
      <c r="T52">
        <f>HYPERLINK("https://klasma.github.io/Logging_1880/kartor/A 58838-2025 karta.png", "A 58838-2025")</f>
        <v/>
      </c>
      <c r="V52">
        <f>HYPERLINK("https://klasma.github.io/Logging_1880/klagomål/A 58838-2025 FSC-klagomål.docx", "A 58838-2025")</f>
        <v/>
      </c>
      <c r="W52">
        <f>HYPERLINK("https://klasma.github.io/Logging_1880/klagomålsmail/A 58838-2025 FSC-klagomål mail.docx", "A 58838-2025")</f>
        <v/>
      </c>
      <c r="X52">
        <f>HYPERLINK("https://klasma.github.io/Logging_1880/tillsyn/A 58838-2025 tillsynsbegäran.docx", "A 58838-2025")</f>
        <v/>
      </c>
      <c r="Y52">
        <f>HYPERLINK("https://klasma.github.io/Logging_1880/tillsynsmail/A 58838-2025 tillsynsbegäran mail.docx", "A 58838-2025")</f>
        <v/>
      </c>
    </row>
    <row r="53" ht="15" customHeight="1">
      <c r="A53" t="inlineStr">
        <is>
          <t>A 43332-2022</t>
        </is>
      </c>
      <c r="B53" s="1" t="n">
        <v>44834</v>
      </c>
      <c r="C53" s="1" t="n">
        <v>46041</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59516-2025</t>
        </is>
      </c>
      <c r="B54" s="1" t="n">
        <v>45989.65396990741</v>
      </c>
      <c r="C54" s="1" t="n">
        <v>46041</v>
      </c>
      <c r="D54" t="inlineStr">
        <is>
          <t>ÖREBRO LÄN</t>
        </is>
      </c>
      <c r="E54" t="inlineStr">
        <is>
          <t>ÖREBRO</t>
        </is>
      </c>
      <c r="F54" t="inlineStr">
        <is>
          <t>Sveaskog</t>
        </is>
      </c>
      <c r="G54" t="n">
        <v>1.9</v>
      </c>
      <c r="H54" t="n">
        <v>0</v>
      </c>
      <c r="I54" t="n">
        <v>1</v>
      </c>
      <c r="J54" t="n">
        <v>0</v>
      </c>
      <c r="K54" t="n">
        <v>0</v>
      </c>
      <c r="L54" t="n">
        <v>0</v>
      </c>
      <c r="M54" t="n">
        <v>0</v>
      </c>
      <c r="N54" t="n">
        <v>0</v>
      </c>
      <c r="O54" t="n">
        <v>0</v>
      </c>
      <c r="P54" t="n">
        <v>0</v>
      </c>
      <c r="Q54" t="n">
        <v>1</v>
      </c>
      <c r="R54" s="2" t="inlineStr">
        <is>
          <t>Tibast</t>
        </is>
      </c>
      <c r="S54">
        <f>HYPERLINK("https://klasma.github.io/Logging_1880/artfynd/A 59516-2025 artfynd.xlsx", "A 59516-2025")</f>
        <v/>
      </c>
      <c r="T54">
        <f>HYPERLINK("https://klasma.github.io/Logging_1880/kartor/A 59516-2025 karta.png", "A 59516-2025")</f>
        <v/>
      </c>
      <c r="V54">
        <f>HYPERLINK("https://klasma.github.io/Logging_1880/klagomål/A 59516-2025 FSC-klagomål.docx", "A 59516-2025")</f>
        <v/>
      </c>
      <c r="W54">
        <f>HYPERLINK("https://klasma.github.io/Logging_1880/klagomålsmail/A 59516-2025 FSC-klagomål mail.docx", "A 59516-2025")</f>
        <v/>
      </c>
      <c r="X54">
        <f>HYPERLINK("https://klasma.github.io/Logging_1880/tillsyn/A 59516-2025 tillsynsbegäran.docx", "A 59516-2025")</f>
        <v/>
      </c>
      <c r="Y54">
        <f>HYPERLINK("https://klasma.github.io/Logging_1880/tillsynsmail/A 59516-2025 tillsynsbegäran mail.docx", "A 59516-2025")</f>
        <v/>
      </c>
    </row>
    <row r="55" ht="15" customHeight="1">
      <c r="A55" t="inlineStr">
        <is>
          <t>A 30725-2023</t>
        </is>
      </c>
      <c r="B55" s="1" t="n">
        <v>45112.61451388889</v>
      </c>
      <c r="C55" s="1" t="n">
        <v>46041</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46041</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20247-2023</t>
        </is>
      </c>
      <c r="B57" s="1" t="n">
        <v>45055</v>
      </c>
      <c r="C57" s="1" t="n">
        <v>46041</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44744-2024</t>
        </is>
      </c>
      <c r="B58" s="1" t="n">
        <v>45574.59789351852</v>
      </c>
      <c r="C58" s="1" t="n">
        <v>46041</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3006-2026</t>
        </is>
      </c>
      <c r="B59" s="1" t="n">
        <v>46038.65719907408</v>
      </c>
      <c r="C59" s="1" t="n">
        <v>46041</v>
      </c>
      <c r="D59" t="inlineStr">
        <is>
          <t>ÖREBRO LÄN</t>
        </is>
      </c>
      <c r="E59" t="inlineStr">
        <is>
          <t>ÖREBRO</t>
        </is>
      </c>
      <c r="F59" t="inlineStr">
        <is>
          <t>Övriga Aktiebolag</t>
        </is>
      </c>
      <c r="G59" t="n">
        <v>1</v>
      </c>
      <c r="H59" t="n">
        <v>1</v>
      </c>
      <c r="I59" t="n">
        <v>0</v>
      </c>
      <c r="J59" t="n">
        <v>1</v>
      </c>
      <c r="K59" t="n">
        <v>0</v>
      </c>
      <c r="L59" t="n">
        <v>0</v>
      </c>
      <c r="M59" t="n">
        <v>0</v>
      </c>
      <c r="N59" t="n">
        <v>0</v>
      </c>
      <c r="O59" t="n">
        <v>1</v>
      </c>
      <c r="P59" t="n">
        <v>0</v>
      </c>
      <c r="Q59" t="n">
        <v>1</v>
      </c>
      <c r="R59" s="2" t="inlineStr">
        <is>
          <t>Gulsparv</t>
        </is>
      </c>
      <c r="S59">
        <f>HYPERLINK("https://klasma.github.io/Logging_1880/artfynd/A 3006-2026 artfynd.xlsx", "A 3006-2026")</f>
        <v/>
      </c>
      <c r="T59">
        <f>HYPERLINK("https://klasma.github.io/Logging_1880/kartor/A 3006-2026 karta.png", "A 3006-2026")</f>
        <v/>
      </c>
      <c r="V59">
        <f>HYPERLINK("https://klasma.github.io/Logging_1880/klagomål/A 3006-2026 FSC-klagomål.docx", "A 3006-2026")</f>
        <v/>
      </c>
      <c r="W59">
        <f>HYPERLINK("https://klasma.github.io/Logging_1880/klagomålsmail/A 3006-2026 FSC-klagomål mail.docx", "A 3006-2026")</f>
        <v/>
      </c>
      <c r="X59">
        <f>HYPERLINK("https://klasma.github.io/Logging_1880/tillsyn/A 3006-2026 tillsynsbegäran.docx", "A 3006-2026")</f>
        <v/>
      </c>
      <c r="Y59">
        <f>HYPERLINK("https://klasma.github.io/Logging_1880/tillsynsmail/A 3006-2026 tillsynsbegäran mail.docx", "A 3006-2026")</f>
        <v/>
      </c>
      <c r="Z59">
        <f>HYPERLINK("https://klasma.github.io/Logging_1880/fåglar/A 3006-2026 prioriterade fågelarter.docx", "A 3006-2026")</f>
        <v/>
      </c>
    </row>
    <row r="60" ht="15" customHeight="1">
      <c r="A60" t="inlineStr">
        <is>
          <t>A 50499-2025</t>
        </is>
      </c>
      <c r="B60" s="1" t="n">
        <v>45945.41712962963</v>
      </c>
      <c r="C60" s="1" t="n">
        <v>46041</v>
      </c>
      <c r="D60" t="inlineStr">
        <is>
          <t>ÖREBRO LÄN</t>
        </is>
      </c>
      <c r="E60" t="inlineStr">
        <is>
          <t>ÖREBRO</t>
        </is>
      </c>
      <c r="G60" t="n">
        <v>6.7</v>
      </c>
      <c r="H60" t="n">
        <v>0</v>
      </c>
      <c r="I60" t="n">
        <v>0</v>
      </c>
      <c r="J60" t="n">
        <v>1</v>
      </c>
      <c r="K60" t="n">
        <v>0</v>
      </c>
      <c r="L60" t="n">
        <v>0</v>
      </c>
      <c r="M60" t="n">
        <v>0</v>
      </c>
      <c r="N60" t="n">
        <v>0</v>
      </c>
      <c r="O60" t="n">
        <v>1</v>
      </c>
      <c r="P60" t="n">
        <v>0</v>
      </c>
      <c r="Q60" t="n">
        <v>1</v>
      </c>
      <c r="R60" s="2" t="inlineStr">
        <is>
          <t>Gullklöver</t>
        </is>
      </c>
      <c r="S60">
        <f>HYPERLINK("https://klasma.github.io/Logging_1880/artfynd/A 50499-2025 artfynd.xlsx", "A 50499-2025")</f>
        <v/>
      </c>
      <c r="T60">
        <f>HYPERLINK("https://klasma.github.io/Logging_1880/kartor/A 50499-2025 karta.png", "A 50499-2025")</f>
        <v/>
      </c>
      <c r="V60">
        <f>HYPERLINK("https://klasma.github.io/Logging_1880/klagomål/A 50499-2025 FSC-klagomål.docx", "A 50499-2025")</f>
        <v/>
      </c>
      <c r="W60">
        <f>HYPERLINK("https://klasma.github.io/Logging_1880/klagomålsmail/A 50499-2025 FSC-klagomål mail.docx", "A 50499-2025")</f>
        <v/>
      </c>
      <c r="X60">
        <f>HYPERLINK("https://klasma.github.io/Logging_1880/tillsyn/A 50499-2025 tillsynsbegäran.docx", "A 50499-2025")</f>
        <v/>
      </c>
      <c r="Y60">
        <f>HYPERLINK("https://klasma.github.io/Logging_1880/tillsynsmail/A 50499-2025 tillsynsbegäran mail.docx", "A 50499-2025")</f>
        <v/>
      </c>
    </row>
    <row r="61" ht="15" customHeight="1">
      <c r="A61" t="inlineStr">
        <is>
          <t>A 26890-2022</t>
        </is>
      </c>
      <c r="B61" s="1" t="n">
        <v>44740</v>
      </c>
      <c r="C61" s="1" t="n">
        <v>46041</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57920-2024</t>
        </is>
      </c>
      <c r="B62" s="1" t="n">
        <v>45631.50894675926</v>
      </c>
      <c r="C62" s="1" t="n">
        <v>46041</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11501-2025</t>
        </is>
      </c>
      <c r="B63" s="1" t="n">
        <v>45726</v>
      </c>
      <c r="C63" s="1" t="n">
        <v>46041</v>
      </c>
      <c r="D63" t="inlineStr">
        <is>
          <t>ÖREBRO LÄN</t>
        </is>
      </c>
      <c r="E63" t="inlineStr">
        <is>
          <t>ÖREBRO</t>
        </is>
      </c>
      <c r="G63" t="n">
        <v>0.8</v>
      </c>
      <c r="H63" t="n">
        <v>1</v>
      </c>
      <c r="I63" t="n">
        <v>0</v>
      </c>
      <c r="J63" t="n">
        <v>0</v>
      </c>
      <c r="K63" t="n">
        <v>0</v>
      </c>
      <c r="L63" t="n">
        <v>0</v>
      </c>
      <c r="M63" t="n">
        <v>0</v>
      </c>
      <c r="N63" t="n">
        <v>0</v>
      </c>
      <c r="O63" t="n">
        <v>0</v>
      </c>
      <c r="P63" t="n">
        <v>0</v>
      </c>
      <c r="Q63" t="n">
        <v>1</v>
      </c>
      <c r="R63" s="2" t="inlineStr">
        <is>
          <t>Kopparödla</t>
        </is>
      </c>
      <c r="S63">
        <f>HYPERLINK("https://klasma.github.io/Logging_1880/artfynd/A 11501-2025 artfynd.xlsx", "A 11501-2025")</f>
        <v/>
      </c>
      <c r="T63">
        <f>HYPERLINK("https://klasma.github.io/Logging_1880/kartor/A 11501-2025 karta.png", "A 11501-2025")</f>
        <v/>
      </c>
      <c r="V63">
        <f>HYPERLINK("https://klasma.github.io/Logging_1880/klagomål/A 11501-2025 FSC-klagomål.docx", "A 11501-2025")</f>
        <v/>
      </c>
      <c r="W63">
        <f>HYPERLINK("https://klasma.github.io/Logging_1880/klagomålsmail/A 11501-2025 FSC-klagomål mail.docx", "A 11501-2025")</f>
        <v/>
      </c>
      <c r="X63">
        <f>HYPERLINK("https://klasma.github.io/Logging_1880/tillsyn/A 11501-2025 tillsynsbegäran.docx", "A 11501-2025")</f>
        <v/>
      </c>
      <c r="Y63">
        <f>HYPERLINK("https://klasma.github.io/Logging_1880/tillsynsmail/A 11501-2025 tillsynsbegäran mail.docx", "A 11501-2025")</f>
        <v/>
      </c>
    </row>
    <row r="64" ht="15" customHeight="1">
      <c r="A64" t="inlineStr">
        <is>
          <t>A 63199-2025</t>
        </is>
      </c>
      <c r="B64" s="1" t="n">
        <v>46010.46091435185</v>
      </c>
      <c r="C64" s="1" t="n">
        <v>46041</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63196-2025</t>
        </is>
      </c>
      <c r="B65" s="1" t="n">
        <v>46010.45872685185</v>
      </c>
      <c r="C65" s="1" t="n">
        <v>46041</v>
      </c>
      <c r="D65" t="inlineStr">
        <is>
          <t>ÖREBRO LÄN</t>
        </is>
      </c>
      <c r="E65" t="inlineStr">
        <is>
          <t>ÖREBRO</t>
        </is>
      </c>
      <c r="F65" t="inlineStr">
        <is>
          <t>Sveaskog</t>
        </is>
      </c>
      <c r="G65" t="n">
        <v>1.4</v>
      </c>
      <c r="H65" t="n">
        <v>0</v>
      </c>
      <c r="I65" t="n">
        <v>1</v>
      </c>
      <c r="J65" t="n">
        <v>0</v>
      </c>
      <c r="K65" t="n">
        <v>0</v>
      </c>
      <c r="L65" t="n">
        <v>0</v>
      </c>
      <c r="M65" t="n">
        <v>0</v>
      </c>
      <c r="N65" t="n">
        <v>0</v>
      </c>
      <c r="O65" t="n">
        <v>0</v>
      </c>
      <c r="P65" t="n">
        <v>0</v>
      </c>
      <c r="Q65" t="n">
        <v>1</v>
      </c>
      <c r="R65" s="2" t="inlineStr">
        <is>
          <t>Tibast</t>
        </is>
      </c>
      <c r="S65">
        <f>HYPERLINK("https://klasma.github.io/Logging_1880/artfynd/A 63196-2025 artfynd.xlsx", "A 63196-2025")</f>
        <v/>
      </c>
      <c r="T65">
        <f>HYPERLINK("https://klasma.github.io/Logging_1880/kartor/A 63196-2025 karta.png", "A 63196-2025")</f>
        <v/>
      </c>
      <c r="V65">
        <f>HYPERLINK("https://klasma.github.io/Logging_1880/klagomål/A 63196-2025 FSC-klagomål.docx", "A 63196-2025")</f>
        <v/>
      </c>
      <c r="W65">
        <f>HYPERLINK("https://klasma.github.io/Logging_1880/klagomålsmail/A 63196-2025 FSC-klagomål mail.docx", "A 63196-2025")</f>
        <v/>
      </c>
      <c r="X65">
        <f>HYPERLINK("https://klasma.github.io/Logging_1880/tillsyn/A 63196-2025 tillsynsbegäran.docx", "A 63196-2025")</f>
        <v/>
      </c>
      <c r="Y65">
        <f>HYPERLINK("https://klasma.github.io/Logging_1880/tillsynsmail/A 63196-2025 tillsynsbegäran mail.docx", "A 63196-2025")</f>
        <v/>
      </c>
    </row>
    <row r="66" ht="15" customHeight="1">
      <c r="A66" t="inlineStr">
        <is>
          <t>A 4014-2021</t>
        </is>
      </c>
      <c r="B66" s="1" t="n">
        <v>44218</v>
      </c>
      <c r="C66" s="1" t="n">
        <v>46041</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2077-2023</t>
        </is>
      </c>
      <c r="B67" s="1" t="n">
        <v>44939</v>
      </c>
      <c r="C67" s="1" t="n">
        <v>46041</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46041</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46041</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32105-2023</t>
        </is>
      </c>
      <c r="B70" s="1" t="n">
        <v>45119</v>
      </c>
      <c r="C70" s="1" t="n">
        <v>46041</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42636-2023</t>
        </is>
      </c>
      <c r="B71" s="1" t="n">
        <v>45181.49559027778</v>
      </c>
      <c r="C71" s="1" t="n">
        <v>46041</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46041</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15621-2021</t>
        </is>
      </c>
      <c r="B73" s="1" t="n">
        <v>44285</v>
      </c>
      <c r="C73" s="1" t="n">
        <v>46041</v>
      </c>
      <c r="D73" t="inlineStr">
        <is>
          <t>ÖREBRO LÄN</t>
        </is>
      </c>
      <c r="E73" t="inlineStr">
        <is>
          <t>ÖREBRO</t>
        </is>
      </c>
      <c r="G73" t="n">
        <v>2.8</v>
      </c>
      <c r="H73" t="n">
        <v>1</v>
      </c>
      <c r="I73" t="n">
        <v>0</v>
      </c>
      <c r="J73" t="n">
        <v>0</v>
      </c>
      <c r="K73" t="n">
        <v>0</v>
      </c>
      <c r="L73" t="n">
        <v>0</v>
      </c>
      <c r="M73" t="n">
        <v>0</v>
      </c>
      <c r="N73" t="n">
        <v>0</v>
      </c>
      <c r="O73" t="n">
        <v>0</v>
      </c>
      <c r="P73" t="n">
        <v>0</v>
      </c>
      <c r="Q73" t="n">
        <v>1</v>
      </c>
      <c r="R73" s="2" t="inlineStr">
        <is>
          <t>Fläcknycklar</t>
        </is>
      </c>
      <c r="S73">
        <f>HYPERLINK("https://klasma.github.io/Logging_1880/artfynd/A 15621-2021 artfynd.xlsx", "A 15621-2021")</f>
        <v/>
      </c>
      <c r="T73">
        <f>HYPERLINK("https://klasma.github.io/Logging_1880/kartor/A 15621-2021 karta.png", "A 15621-2021")</f>
        <v/>
      </c>
      <c r="V73">
        <f>HYPERLINK("https://klasma.github.io/Logging_1880/klagomål/A 15621-2021 FSC-klagomål.docx", "A 15621-2021")</f>
        <v/>
      </c>
      <c r="W73">
        <f>HYPERLINK("https://klasma.github.io/Logging_1880/klagomålsmail/A 15621-2021 FSC-klagomål mail.docx", "A 15621-2021")</f>
        <v/>
      </c>
      <c r="X73">
        <f>HYPERLINK("https://klasma.github.io/Logging_1880/tillsyn/A 15621-2021 tillsynsbegäran.docx", "A 15621-2021")</f>
        <v/>
      </c>
      <c r="Y73">
        <f>HYPERLINK("https://klasma.github.io/Logging_1880/tillsynsmail/A 15621-2021 tillsynsbegäran mail.docx", "A 15621-2021")</f>
        <v/>
      </c>
    </row>
    <row r="74" ht="15" customHeight="1">
      <c r="A74" t="inlineStr">
        <is>
          <t>A 28936-2025</t>
        </is>
      </c>
      <c r="B74" s="1" t="n">
        <v>45820.69287037037</v>
      </c>
      <c r="C74" s="1" t="n">
        <v>46041</v>
      </c>
      <c r="D74" t="inlineStr">
        <is>
          <t>ÖREBRO LÄN</t>
        </is>
      </c>
      <c r="E74" t="inlineStr">
        <is>
          <t>ÖREBRO</t>
        </is>
      </c>
      <c r="G74" t="n">
        <v>0.9</v>
      </c>
      <c r="H74" t="n">
        <v>1</v>
      </c>
      <c r="I74" t="n">
        <v>0</v>
      </c>
      <c r="J74" t="n">
        <v>0</v>
      </c>
      <c r="K74" t="n">
        <v>0</v>
      </c>
      <c r="L74" t="n">
        <v>0</v>
      </c>
      <c r="M74" t="n">
        <v>0</v>
      </c>
      <c r="N74" t="n">
        <v>0</v>
      </c>
      <c r="O74" t="n">
        <v>0</v>
      </c>
      <c r="P74" t="n">
        <v>0</v>
      </c>
      <c r="Q74" t="n">
        <v>1</v>
      </c>
      <c r="R74" s="2" t="inlineStr">
        <is>
          <t>Kungsfågel</t>
        </is>
      </c>
      <c r="S74">
        <f>HYPERLINK("https://klasma.github.io/Logging_1880/artfynd/A 28936-2025 artfynd.xlsx", "A 28936-2025")</f>
        <v/>
      </c>
      <c r="T74">
        <f>HYPERLINK("https://klasma.github.io/Logging_1880/kartor/A 28936-2025 karta.png", "A 28936-2025")</f>
        <v/>
      </c>
      <c r="V74">
        <f>HYPERLINK("https://klasma.github.io/Logging_1880/klagomål/A 28936-2025 FSC-klagomål.docx", "A 28936-2025")</f>
        <v/>
      </c>
      <c r="W74">
        <f>HYPERLINK("https://klasma.github.io/Logging_1880/klagomålsmail/A 28936-2025 FSC-klagomål mail.docx", "A 28936-2025")</f>
        <v/>
      </c>
      <c r="X74">
        <f>HYPERLINK("https://klasma.github.io/Logging_1880/tillsyn/A 28936-2025 tillsynsbegäran.docx", "A 28936-2025")</f>
        <v/>
      </c>
      <c r="Y74">
        <f>HYPERLINK("https://klasma.github.io/Logging_1880/tillsynsmail/A 28936-2025 tillsynsbegäran mail.docx", "A 28936-2025")</f>
        <v/>
      </c>
      <c r="Z74">
        <f>HYPERLINK("https://klasma.github.io/Logging_1880/fåglar/A 28936-2025 prioriterade fågelarter.docx", "A 28936-2025")</f>
        <v/>
      </c>
    </row>
    <row r="75" ht="15" customHeight="1">
      <c r="A75" t="inlineStr">
        <is>
          <t>A 32226-2025</t>
        </is>
      </c>
      <c r="B75" s="1" t="n">
        <v>45835.59478009259</v>
      </c>
      <c r="C75" s="1" t="n">
        <v>46041</v>
      </c>
      <c r="D75" t="inlineStr">
        <is>
          <t>ÖREBRO LÄN</t>
        </is>
      </c>
      <c r="E75" t="inlineStr">
        <is>
          <t>ÖREBRO</t>
        </is>
      </c>
      <c r="G75" t="n">
        <v>1.2</v>
      </c>
      <c r="H75" t="n">
        <v>0</v>
      </c>
      <c r="I75" t="n">
        <v>0</v>
      </c>
      <c r="J75" t="n">
        <v>1</v>
      </c>
      <c r="K75" t="n">
        <v>0</v>
      </c>
      <c r="L75" t="n">
        <v>0</v>
      </c>
      <c r="M75" t="n">
        <v>0</v>
      </c>
      <c r="N75" t="n">
        <v>0</v>
      </c>
      <c r="O75" t="n">
        <v>1</v>
      </c>
      <c r="P75" t="n">
        <v>0</v>
      </c>
      <c r="Q75" t="n">
        <v>1</v>
      </c>
      <c r="R75" s="2" t="inlineStr">
        <is>
          <t>Dofttaggsvamp</t>
        </is>
      </c>
      <c r="S75">
        <f>HYPERLINK("https://klasma.github.io/Logging_1880/artfynd/A 32226-2025 artfynd.xlsx", "A 32226-2025")</f>
        <v/>
      </c>
      <c r="T75">
        <f>HYPERLINK("https://klasma.github.io/Logging_1880/kartor/A 32226-2025 karta.png", "A 32226-2025")</f>
        <v/>
      </c>
      <c r="V75">
        <f>HYPERLINK("https://klasma.github.io/Logging_1880/klagomål/A 32226-2025 FSC-klagomål.docx", "A 32226-2025")</f>
        <v/>
      </c>
      <c r="W75">
        <f>HYPERLINK("https://klasma.github.io/Logging_1880/klagomålsmail/A 32226-2025 FSC-klagomål mail.docx", "A 32226-2025")</f>
        <v/>
      </c>
      <c r="X75">
        <f>HYPERLINK("https://klasma.github.io/Logging_1880/tillsyn/A 32226-2025 tillsynsbegäran.docx", "A 32226-2025")</f>
        <v/>
      </c>
      <c r="Y75">
        <f>HYPERLINK("https://klasma.github.io/Logging_1880/tillsynsmail/A 32226-2025 tillsynsbegäran mail.docx", "A 32226-2025")</f>
        <v/>
      </c>
    </row>
    <row r="76" ht="15" customHeight="1">
      <c r="A76" t="inlineStr">
        <is>
          <t>A 32204-2025</t>
        </is>
      </c>
      <c r="B76" s="1" t="n">
        <v>45835.58074074074</v>
      </c>
      <c r="C76" s="1" t="n">
        <v>46041</v>
      </c>
      <c r="D76" t="inlineStr">
        <is>
          <t>ÖREBRO LÄN</t>
        </is>
      </c>
      <c r="E76" t="inlineStr">
        <is>
          <t>ÖREBRO</t>
        </is>
      </c>
      <c r="G76" t="n">
        <v>3.4</v>
      </c>
      <c r="H76" t="n">
        <v>1</v>
      </c>
      <c r="I76" t="n">
        <v>0</v>
      </c>
      <c r="J76" t="n">
        <v>0</v>
      </c>
      <c r="K76" t="n">
        <v>0</v>
      </c>
      <c r="L76" t="n">
        <v>0</v>
      </c>
      <c r="M76" t="n">
        <v>0</v>
      </c>
      <c r="N76" t="n">
        <v>0</v>
      </c>
      <c r="O76" t="n">
        <v>0</v>
      </c>
      <c r="P76" t="n">
        <v>0</v>
      </c>
      <c r="Q76" t="n">
        <v>1</v>
      </c>
      <c r="R76" s="2" t="inlineStr">
        <is>
          <t>Tjäder</t>
        </is>
      </c>
      <c r="S76">
        <f>HYPERLINK("https://klasma.github.io/Logging_1880/artfynd/A 32204-2025 artfynd.xlsx", "A 32204-2025")</f>
        <v/>
      </c>
      <c r="T76">
        <f>HYPERLINK("https://klasma.github.io/Logging_1880/kartor/A 32204-2025 karta.png", "A 32204-2025")</f>
        <v/>
      </c>
      <c r="V76">
        <f>HYPERLINK("https://klasma.github.io/Logging_1880/klagomål/A 32204-2025 FSC-klagomål.docx", "A 32204-2025")</f>
        <v/>
      </c>
      <c r="W76">
        <f>HYPERLINK("https://klasma.github.io/Logging_1880/klagomålsmail/A 32204-2025 FSC-klagomål mail.docx", "A 32204-2025")</f>
        <v/>
      </c>
      <c r="X76">
        <f>HYPERLINK("https://klasma.github.io/Logging_1880/tillsyn/A 32204-2025 tillsynsbegäran.docx", "A 32204-2025")</f>
        <v/>
      </c>
      <c r="Y76">
        <f>HYPERLINK("https://klasma.github.io/Logging_1880/tillsynsmail/A 32204-2025 tillsynsbegäran mail.docx", "A 32204-2025")</f>
        <v/>
      </c>
      <c r="Z76">
        <f>HYPERLINK("https://klasma.github.io/Logging_1880/fåglar/A 32204-2025 prioriterade fågelarter.docx", "A 32204-2025")</f>
        <v/>
      </c>
    </row>
    <row r="77" ht="15" customHeight="1">
      <c r="A77" t="inlineStr">
        <is>
          <t>A 9406-2021</t>
        </is>
      </c>
      <c r="B77" s="1" t="n">
        <v>44251</v>
      </c>
      <c r="C77" s="1" t="n">
        <v>46041</v>
      </c>
      <c r="D77" t="inlineStr">
        <is>
          <t>ÖREBRO LÄN</t>
        </is>
      </c>
      <c r="E77" t="inlineStr">
        <is>
          <t>ÖREBRO</t>
        </is>
      </c>
      <c r="G77" t="n">
        <v>6.1</v>
      </c>
      <c r="H77" t="n">
        <v>0</v>
      </c>
      <c r="I77" t="n">
        <v>0</v>
      </c>
      <c r="J77" t="n">
        <v>0</v>
      </c>
      <c r="K77" t="n">
        <v>0</v>
      </c>
      <c r="L77" t="n">
        <v>0</v>
      </c>
      <c r="M77" t="n">
        <v>0</v>
      </c>
      <c r="N77" t="n">
        <v>0</v>
      </c>
      <c r="O77" t="n">
        <v>0</v>
      </c>
      <c r="P77" t="n">
        <v>0</v>
      </c>
      <c r="Q77" t="n">
        <v>0</v>
      </c>
      <c r="R77" s="2" t="inlineStr"/>
    </row>
    <row r="78" ht="15" customHeight="1">
      <c r="A78" t="inlineStr">
        <is>
          <t>A 23606-2021</t>
        </is>
      </c>
      <c r="B78" s="1" t="n">
        <v>44334</v>
      </c>
      <c r="C78" s="1" t="n">
        <v>46041</v>
      </c>
      <c r="D78" t="inlineStr">
        <is>
          <t>ÖREBRO LÄN</t>
        </is>
      </c>
      <c r="E78" t="inlineStr">
        <is>
          <t>ÖREBRO</t>
        </is>
      </c>
      <c r="G78" t="n">
        <v>2.4</v>
      </c>
      <c r="H78" t="n">
        <v>0</v>
      </c>
      <c r="I78" t="n">
        <v>0</v>
      </c>
      <c r="J78" t="n">
        <v>0</v>
      </c>
      <c r="K78" t="n">
        <v>0</v>
      </c>
      <c r="L78" t="n">
        <v>0</v>
      </c>
      <c r="M78" t="n">
        <v>0</v>
      </c>
      <c r="N78" t="n">
        <v>0</v>
      </c>
      <c r="O78" t="n">
        <v>0</v>
      </c>
      <c r="P78" t="n">
        <v>0</v>
      </c>
      <c r="Q78" t="n">
        <v>0</v>
      </c>
      <c r="R78" s="2" t="inlineStr"/>
    </row>
    <row r="79" ht="15" customHeight="1">
      <c r="A79" t="inlineStr">
        <is>
          <t>A 33865-2021</t>
        </is>
      </c>
      <c r="B79" s="1" t="n">
        <v>44378.62756944444</v>
      </c>
      <c r="C79" s="1" t="n">
        <v>46041</v>
      </c>
      <c r="D79" t="inlineStr">
        <is>
          <t>ÖREBRO LÄN</t>
        </is>
      </c>
      <c r="E79" t="inlineStr">
        <is>
          <t>ÖREBRO</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12232-2021</t>
        </is>
      </c>
      <c r="B80" s="1" t="n">
        <v>44266.70232638889</v>
      </c>
      <c r="C80" s="1" t="n">
        <v>46041</v>
      </c>
      <c r="D80" t="inlineStr">
        <is>
          <t>ÖREBRO LÄN</t>
        </is>
      </c>
      <c r="E80" t="inlineStr">
        <is>
          <t>ÖREBRO</t>
        </is>
      </c>
      <c r="G80" t="n">
        <v>1.5</v>
      </c>
      <c r="H80" t="n">
        <v>0</v>
      </c>
      <c r="I80" t="n">
        <v>0</v>
      </c>
      <c r="J80" t="n">
        <v>0</v>
      </c>
      <c r="K80" t="n">
        <v>0</v>
      </c>
      <c r="L80" t="n">
        <v>0</v>
      </c>
      <c r="M80" t="n">
        <v>0</v>
      </c>
      <c r="N80" t="n">
        <v>0</v>
      </c>
      <c r="O80" t="n">
        <v>0</v>
      </c>
      <c r="P80" t="n">
        <v>0</v>
      </c>
      <c r="Q80" t="n">
        <v>0</v>
      </c>
      <c r="R80" s="2" t="inlineStr"/>
    </row>
    <row r="81" ht="15" customHeight="1">
      <c r="A81" t="inlineStr">
        <is>
          <t>A 13760-2021</t>
        </is>
      </c>
      <c r="B81" s="1" t="n">
        <v>44274</v>
      </c>
      <c r="C81" s="1" t="n">
        <v>46041</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16785-2021</t>
        </is>
      </c>
      <c r="B82" s="1" t="n">
        <v>44295</v>
      </c>
      <c r="C82" s="1" t="n">
        <v>46041</v>
      </c>
      <c r="D82" t="inlineStr">
        <is>
          <t>ÖREBRO LÄN</t>
        </is>
      </c>
      <c r="E82" t="inlineStr">
        <is>
          <t>ÖREBRO</t>
        </is>
      </c>
      <c r="G82" t="n">
        <v>2.8</v>
      </c>
      <c r="H82" t="n">
        <v>0</v>
      </c>
      <c r="I82" t="n">
        <v>0</v>
      </c>
      <c r="J82" t="n">
        <v>0</v>
      </c>
      <c r="K82" t="n">
        <v>0</v>
      </c>
      <c r="L82" t="n">
        <v>0</v>
      </c>
      <c r="M82" t="n">
        <v>0</v>
      </c>
      <c r="N82" t="n">
        <v>0</v>
      </c>
      <c r="O82" t="n">
        <v>0</v>
      </c>
      <c r="P82" t="n">
        <v>0</v>
      </c>
      <c r="Q82" t="n">
        <v>0</v>
      </c>
      <c r="R82" s="2" t="inlineStr"/>
    </row>
    <row r="83" ht="15" customHeight="1">
      <c r="A83" t="inlineStr">
        <is>
          <t>A 70289-2021</t>
        </is>
      </c>
      <c r="B83" s="1" t="n">
        <v>44536</v>
      </c>
      <c r="C83" s="1" t="n">
        <v>46041</v>
      </c>
      <c r="D83" t="inlineStr">
        <is>
          <t>ÖREBRO LÄN</t>
        </is>
      </c>
      <c r="E83" t="inlineStr">
        <is>
          <t>ÖREBRO</t>
        </is>
      </c>
      <c r="G83" t="n">
        <v>1.2</v>
      </c>
      <c r="H83" t="n">
        <v>0</v>
      </c>
      <c r="I83" t="n">
        <v>0</v>
      </c>
      <c r="J83" t="n">
        <v>0</v>
      </c>
      <c r="K83" t="n">
        <v>0</v>
      </c>
      <c r="L83" t="n">
        <v>0</v>
      </c>
      <c r="M83" t="n">
        <v>0</v>
      </c>
      <c r="N83" t="n">
        <v>0</v>
      </c>
      <c r="O83" t="n">
        <v>0</v>
      </c>
      <c r="P83" t="n">
        <v>0</v>
      </c>
      <c r="Q83" t="n">
        <v>0</v>
      </c>
      <c r="R83" s="2" t="inlineStr"/>
    </row>
    <row r="84" ht="15" customHeight="1">
      <c r="A84" t="inlineStr">
        <is>
          <t>A 3081-2021</t>
        </is>
      </c>
      <c r="B84" s="1" t="n">
        <v>44216</v>
      </c>
      <c r="C84" s="1" t="n">
        <v>46041</v>
      </c>
      <c r="D84" t="inlineStr">
        <is>
          <t>ÖREBRO LÄN</t>
        </is>
      </c>
      <c r="E84" t="inlineStr">
        <is>
          <t>ÖREBRO</t>
        </is>
      </c>
      <c r="G84" t="n">
        <v>4.2</v>
      </c>
      <c r="H84" t="n">
        <v>0</v>
      </c>
      <c r="I84" t="n">
        <v>0</v>
      </c>
      <c r="J84" t="n">
        <v>0</v>
      </c>
      <c r="K84" t="n">
        <v>0</v>
      </c>
      <c r="L84" t="n">
        <v>0</v>
      </c>
      <c r="M84" t="n">
        <v>0</v>
      </c>
      <c r="N84" t="n">
        <v>0</v>
      </c>
      <c r="O84" t="n">
        <v>0</v>
      </c>
      <c r="P84" t="n">
        <v>0</v>
      </c>
      <c r="Q84" t="n">
        <v>0</v>
      </c>
      <c r="R84" s="2" t="inlineStr"/>
    </row>
    <row r="85" ht="15" customHeight="1">
      <c r="A85" t="inlineStr">
        <is>
          <t>A 70540-2021</t>
        </is>
      </c>
      <c r="B85" s="1" t="n">
        <v>44537</v>
      </c>
      <c r="C85" s="1" t="n">
        <v>46041</v>
      </c>
      <c r="D85" t="inlineStr">
        <is>
          <t>ÖREBRO LÄN</t>
        </is>
      </c>
      <c r="E85" t="inlineStr">
        <is>
          <t>ÖREBRO</t>
        </is>
      </c>
      <c r="G85" t="n">
        <v>7.1</v>
      </c>
      <c r="H85" t="n">
        <v>0</v>
      </c>
      <c r="I85" t="n">
        <v>0</v>
      </c>
      <c r="J85" t="n">
        <v>0</v>
      </c>
      <c r="K85" t="n">
        <v>0</v>
      </c>
      <c r="L85" t="n">
        <v>0</v>
      </c>
      <c r="M85" t="n">
        <v>0</v>
      </c>
      <c r="N85" t="n">
        <v>0</v>
      </c>
      <c r="O85" t="n">
        <v>0</v>
      </c>
      <c r="P85" t="n">
        <v>0</v>
      </c>
      <c r="Q85" t="n">
        <v>0</v>
      </c>
      <c r="R85" s="2" t="inlineStr"/>
    </row>
    <row r="86" ht="15" customHeight="1">
      <c r="A86" t="inlineStr">
        <is>
          <t>A 49016-2021</t>
        </is>
      </c>
      <c r="B86" s="1" t="n">
        <v>44453</v>
      </c>
      <c r="C86" s="1" t="n">
        <v>46041</v>
      </c>
      <c r="D86" t="inlineStr">
        <is>
          <t>ÖREBRO LÄN</t>
        </is>
      </c>
      <c r="E86" t="inlineStr">
        <is>
          <t>ÖREBRO</t>
        </is>
      </c>
      <c r="G86" t="n">
        <v>4.5</v>
      </c>
      <c r="H86" t="n">
        <v>0</v>
      </c>
      <c r="I86" t="n">
        <v>0</v>
      </c>
      <c r="J86" t="n">
        <v>0</v>
      </c>
      <c r="K86" t="n">
        <v>0</v>
      </c>
      <c r="L86" t="n">
        <v>0</v>
      </c>
      <c r="M86" t="n">
        <v>0</v>
      </c>
      <c r="N86" t="n">
        <v>0</v>
      </c>
      <c r="O86" t="n">
        <v>0</v>
      </c>
      <c r="P86" t="n">
        <v>0</v>
      </c>
      <c r="Q86" t="n">
        <v>0</v>
      </c>
      <c r="R86" s="2" t="inlineStr"/>
    </row>
    <row r="87" ht="15" customHeight="1">
      <c r="A87" t="inlineStr">
        <is>
          <t>A 59584-2021</t>
        </is>
      </c>
      <c r="B87" s="1" t="n">
        <v>44491</v>
      </c>
      <c r="C87" s="1" t="n">
        <v>46041</v>
      </c>
      <c r="D87" t="inlineStr">
        <is>
          <t>ÖREBRO LÄN</t>
        </is>
      </c>
      <c r="E87" t="inlineStr">
        <is>
          <t>ÖREBRO</t>
        </is>
      </c>
      <c r="G87" t="n">
        <v>1.4</v>
      </c>
      <c r="H87" t="n">
        <v>0</v>
      </c>
      <c r="I87" t="n">
        <v>0</v>
      </c>
      <c r="J87" t="n">
        <v>0</v>
      </c>
      <c r="K87" t="n">
        <v>0</v>
      </c>
      <c r="L87" t="n">
        <v>0</v>
      </c>
      <c r="M87" t="n">
        <v>0</v>
      </c>
      <c r="N87" t="n">
        <v>0</v>
      </c>
      <c r="O87" t="n">
        <v>0</v>
      </c>
      <c r="P87" t="n">
        <v>0</v>
      </c>
      <c r="Q87" t="n">
        <v>0</v>
      </c>
      <c r="R87" s="2" t="inlineStr"/>
    </row>
    <row r="88" ht="15" customHeight="1">
      <c r="A88" t="inlineStr">
        <is>
          <t>A 63890-2021</t>
        </is>
      </c>
      <c r="B88" s="1" t="n">
        <v>44509</v>
      </c>
      <c r="C88" s="1" t="n">
        <v>46041</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33779-2021</t>
        </is>
      </c>
      <c r="B89" s="1" t="n">
        <v>44378.54952546296</v>
      </c>
      <c r="C89" s="1" t="n">
        <v>46041</v>
      </c>
      <c r="D89" t="inlineStr">
        <is>
          <t>ÖREBRO LÄN</t>
        </is>
      </c>
      <c r="E89" t="inlineStr">
        <is>
          <t>ÖREBRO</t>
        </is>
      </c>
      <c r="F89" t="inlineStr">
        <is>
          <t>Kommuner</t>
        </is>
      </c>
      <c r="G89" t="n">
        <v>4.5</v>
      </c>
      <c r="H89" t="n">
        <v>0</v>
      </c>
      <c r="I89" t="n">
        <v>0</v>
      </c>
      <c r="J89" t="n">
        <v>0</v>
      </c>
      <c r="K89" t="n">
        <v>0</v>
      </c>
      <c r="L89" t="n">
        <v>0</v>
      </c>
      <c r="M89" t="n">
        <v>0</v>
      </c>
      <c r="N89" t="n">
        <v>0</v>
      </c>
      <c r="O89" t="n">
        <v>0</v>
      </c>
      <c r="P89" t="n">
        <v>0</v>
      </c>
      <c r="Q89" t="n">
        <v>0</v>
      </c>
      <c r="R89" s="2" t="inlineStr"/>
    </row>
    <row r="90" ht="15" customHeight="1">
      <c r="A90" t="inlineStr">
        <is>
          <t>A 7365-2022</t>
        </is>
      </c>
      <c r="B90" s="1" t="n">
        <v>44606</v>
      </c>
      <c r="C90" s="1" t="n">
        <v>46041</v>
      </c>
      <c r="D90" t="inlineStr">
        <is>
          <t>ÖREBRO LÄN</t>
        </is>
      </c>
      <c r="E90" t="inlineStr">
        <is>
          <t>ÖREBRO</t>
        </is>
      </c>
      <c r="G90" t="n">
        <v>0.9</v>
      </c>
      <c r="H90" t="n">
        <v>0</v>
      </c>
      <c r="I90" t="n">
        <v>0</v>
      </c>
      <c r="J90" t="n">
        <v>0</v>
      </c>
      <c r="K90" t="n">
        <v>0</v>
      </c>
      <c r="L90" t="n">
        <v>0</v>
      </c>
      <c r="M90" t="n">
        <v>0</v>
      </c>
      <c r="N90" t="n">
        <v>0</v>
      </c>
      <c r="O90" t="n">
        <v>0</v>
      </c>
      <c r="P90" t="n">
        <v>0</v>
      </c>
      <c r="Q90" t="n">
        <v>0</v>
      </c>
      <c r="R90" s="2" t="inlineStr"/>
    </row>
    <row r="91" ht="15" customHeight="1">
      <c r="A91" t="inlineStr">
        <is>
          <t>A 13193-2021</t>
        </is>
      </c>
      <c r="B91" s="1" t="n">
        <v>44272.55052083333</v>
      </c>
      <c r="C91" s="1" t="n">
        <v>46041</v>
      </c>
      <c r="D91" t="inlineStr">
        <is>
          <t>ÖREBRO LÄN</t>
        </is>
      </c>
      <c r="E91" t="inlineStr">
        <is>
          <t>ÖREBRO</t>
        </is>
      </c>
      <c r="F91" t="inlineStr">
        <is>
          <t>Övriga Aktiebolag</t>
        </is>
      </c>
      <c r="G91" t="n">
        <v>4.1</v>
      </c>
      <c r="H91" t="n">
        <v>0</v>
      </c>
      <c r="I91" t="n">
        <v>0</v>
      </c>
      <c r="J91" t="n">
        <v>0</v>
      </c>
      <c r="K91" t="n">
        <v>0</v>
      </c>
      <c r="L91" t="n">
        <v>0</v>
      </c>
      <c r="M91" t="n">
        <v>0</v>
      </c>
      <c r="N91" t="n">
        <v>0</v>
      </c>
      <c r="O91" t="n">
        <v>0</v>
      </c>
      <c r="P91" t="n">
        <v>0</v>
      </c>
      <c r="Q91" t="n">
        <v>0</v>
      </c>
      <c r="R91" s="2" t="inlineStr"/>
    </row>
    <row r="92" ht="15" customHeight="1">
      <c r="A92" t="inlineStr">
        <is>
          <t>A 31235-2021</t>
        </is>
      </c>
      <c r="B92" s="1" t="n">
        <v>44368.65681712963</v>
      </c>
      <c r="C92" s="1" t="n">
        <v>46041</v>
      </c>
      <c r="D92" t="inlineStr">
        <is>
          <t>ÖREBRO LÄN</t>
        </is>
      </c>
      <c r="E92" t="inlineStr">
        <is>
          <t>ÖREBRO</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41892-2022</t>
        </is>
      </c>
      <c r="B93" s="1" t="n">
        <v>44830.33280092593</v>
      </c>
      <c r="C93" s="1" t="n">
        <v>46041</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38133-2021</t>
        </is>
      </c>
      <c r="B94" s="1" t="n">
        <v>44404</v>
      </c>
      <c r="C94" s="1" t="n">
        <v>46041</v>
      </c>
      <c r="D94" t="inlineStr">
        <is>
          <t>ÖREBRO LÄN</t>
        </is>
      </c>
      <c r="E94" t="inlineStr">
        <is>
          <t>ÖREBRO</t>
        </is>
      </c>
      <c r="G94" t="n">
        <v>9.199999999999999</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46041</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46041</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46041</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46041</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46041</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12433-2021</t>
        </is>
      </c>
      <c r="B100" s="1" t="n">
        <v>44267</v>
      </c>
      <c r="C100" s="1" t="n">
        <v>46041</v>
      </c>
      <c r="D100" t="inlineStr">
        <is>
          <t>ÖREBRO LÄN</t>
        </is>
      </c>
      <c r="E100" t="inlineStr">
        <is>
          <t>ÖREBRO</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15574-2021</t>
        </is>
      </c>
      <c r="B101" s="1" t="n">
        <v>44285</v>
      </c>
      <c r="C101" s="1" t="n">
        <v>46041</v>
      </c>
      <c r="D101" t="inlineStr">
        <is>
          <t>ÖREBRO LÄN</t>
        </is>
      </c>
      <c r="E101" t="inlineStr">
        <is>
          <t>ÖREBRO</t>
        </is>
      </c>
      <c r="G101" t="n">
        <v>0.7</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46041</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46041</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46041</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46041</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46041</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8884-2022</t>
        </is>
      </c>
      <c r="B107" s="1" t="n">
        <v>44614.60990740741</v>
      </c>
      <c r="C107" s="1" t="n">
        <v>46041</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46041</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46041</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46041</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46041</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4021-2021</t>
        </is>
      </c>
      <c r="B112" s="1" t="n">
        <v>44218</v>
      </c>
      <c r="C112" s="1" t="n">
        <v>46041</v>
      </c>
      <c r="D112" t="inlineStr">
        <is>
          <t>ÖREBRO LÄN</t>
        </is>
      </c>
      <c r="E112" t="inlineStr">
        <is>
          <t>ÖREBRO</t>
        </is>
      </c>
      <c r="G112" t="n">
        <v>5.3</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46041</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46041</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46041</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46041</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46041</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46041</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13045-2022</t>
        </is>
      </c>
      <c r="B119" s="1" t="n">
        <v>44643</v>
      </c>
      <c r="C119" s="1" t="n">
        <v>46041</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46041</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28870-2021</t>
        </is>
      </c>
      <c r="B121" s="1" t="n">
        <v>44357.75265046296</v>
      </c>
      <c r="C121" s="1" t="n">
        <v>46041</v>
      </c>
      <c r="D121" t="inlineStr">
        <is>
          <t>ÖREBRO LÄN</t>
        </is>
      </c>
      <c r="E121" t="inlineStr">
        <is>
          <t>ÖREBRO</t>
        </is>
      </c>
      <c r="F121" t="inlineStr">
        <is>
          <t>Övriga Aktiebolag</t>
        </is>
      </c>
      <c r="G121" t="n">
        <v>2.4</v>
      </c>
      <c r="H121" t="n">
        <v>0</v>
      </c>
      <c r="I121" t="n">
        <v>0</v>
      </c>
      <c r="J121" t="n">
        <v>0</v>
      </c>
      <c r="K121" t="n">
        <v>0</v>
      </c>
      <c r="L121" t="n">
        <v>0</v>
      </c>
      <c r="M121" t="n">
        <v>0</v>
      </c>
      <c r="N121" t="n">
        <v>0</v>
      </c>
      <c r="O121" t="n">
        <v>0</v>
      </c>
      <c r="P121" t="n">
        <v>0</v>
      </c>
      <c r="Q121" t="n">
        <v>0</v>
      </c>
      <c r="R121" s="2" t="inlineStr"/>
    </row>
    <row r="122" ht="15" customHeight="1">
      <c r="A122" t="inlineStr">
        <is>
          <t>A 10019-2022</t>
        </is>
      </c>
      <c r="B122" s="1" t="n">
        <v>44621</v>
      </c>
      <c r="C122" s="1" t="n">
        <v>46041</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44146-2021</t>
        </is>
      </c>
      <c r="B123" s="1" t="n">
        <v>44434</v>
      </c>
      <c r="C123" s="1" t="n">
        <v>46041</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46041</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46041</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16258-2022</t>
        </is>
      </c>
      <c r="B126" s="1" t="n">
        <v>44670</v>
      </c>
      <c r="C126" s="1" t="n">
        <v>46041</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7117-2021</t>
        </is>
      </c>
      <c r="B127" s="1" t="n">
        <v>44238</v>
      </c>
      <c r="C127" s="1" t="n">
        <v>46041</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63247-2021</t>
        </is>
      </c>
      <c r="B128" s="1" t="n">
        <v>44505</v>
      </c>
      <c r="C128" s="1" t="n">
        <v>46041</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6638-2022</t>
        </is>
      </c>
      <c r="B129" s="1" t="n">
        <v>44601</v>
      </c>
      <c r="C129" s="1" t="n">
        <v>46041</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46041</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46041</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46041</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46041</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46041</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18321-2022</t>
        </is>
      </c>
      <c r="B135" s="1" t="n">
        <v>44685</v>
      </c>
      <c r="C135" s="1" t="n">
        <v>46041</v>
      </c>
      <c r="D135" t="inlineStr">
        <is>
          <t>ÖREBRO LÄN</t>
        </is>
      </c>
      <c r="E135" t="inlineStr">
        <is>
          <t>ÖREBRO</t>
        </is>
      </c>
      <c r="G135" t="n">
        <v>2.1</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46041</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46041</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3087-2021</t>
        </is>
      </c>
      <c r="B138" s="1" t="n">
        <v>44216</v>
      </c>
      <c r="C138" s="1" t="n">
        <v>46041</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46041</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46041</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19458-2022</t>
        </is>
      </c>
      <c r="B141" s="1" t="n">
        <v>44693</v>
      </c>
      <c r="C141" s="1" t="n">
        <v>46041</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46041</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46041</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57343-2021</t>
        </is>
      </c>
      <c r="B144" s="1" t="n">
        <v>44482</v>
      </c>
      <c r="C144" s="1" t="n">
        <v>46041</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26118-2021</t>
        </is>
      </c>
      <c r="B145" s="1" t="n">
        <v>44345</v>
      </c>
      <c r="C145" s="1" t="n">
        <v>46041</v>
      </c>
      <c r="D145" t="inlineStr">
        <is>
          <t>ÖREBRO LÄN</t>
        </is>
      </c>
      <c r="E145" t="inlineStr">
        <is>
          <t>ÖREBRO</t>
        </is>
      </c>
      <c r="G145" t="n">
        <v>2.2</v>
      </c>
      <c r="H145" t="n">
        <v>0</v>
      </c>
      <c r="I145" t="n">
        <v>0</v>
      </c>
      <c r="J145" t="n">
        <v>0</v>
      </c>
      <c r="K145" t="n">
        <v>0</v>
      </c>
      <c r="L145" t="n">
        <v>0</v>
      </c>
      <c r="M145" t="n">
        <v>0</v>
      </c>
      <c r="N145" t="n">
        <v>0</v>
      </c>
      <c r="O145" t="n">
        <v>0</v>
      </c>
      <c r="P145" t="n">
        <v>0</v>
      </c>
      <c r="Q145" t="n">
        <v>0</v>
      </c>
      <c r="R145" s="2" t="inlineStr"/>
    </row>
    <row r="146" ht="15" customHeight="1">
      <c r="A146" t="inlineStr">
        <is>
          <t>A 26119-2021</t>
        </is>
      </c>
      <c r="B146" s="1" t="n">
        <v>44345.33282407407</v>
      </c>
      <c r="C146" s="1" t="n">
        <v>46041</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46041</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46041</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46041</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46041</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61232-2021</t>
        </is>
      </c>
      <c r="B151" s="1" t="n">
        <v>44498</v>
      </c>
      <c r="C151" s="1" t="n">
        <v>46041</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46041</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32025-2024</t>
        </is>
      </c>
      <c r="B153" s="1" t="n">
        <v>45510.65754629629</v>
      </c>
      <c r="C153" s="1" t="n">
        <v>46041</v>
      </c>
      <c r="D153" t="inlineStr">
        <is>
          <t>ÖREBRO LÄN</t>
        </is>
      </c>
      <c r="E153" t="inlineStr">
        <is>
          <t>ÖREBRO</t>
        </is>
      </c>
      <c r="G153" t="n">
        <v>4</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46041</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46041</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16165-2023</t>
        </is>
      </c>
      <c r="B156" s="1" t="n">
        <v>45027</v>
      </c>
      <c r="C156" s="1" t="n">
        <v>46041</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57247-2022</t>
        </is>
      </c>
      <c r="B157" s="1" t="n">
        <v>44895.73065972222</v>
      </c>
      <c r="C157" s="1" t="n">
        <v>46041</v>
      </c>
      <c r="D157" t="inlineStr">
        <is>
          <t>ÖREBRO LÄN</t>
        </is>
      </c>
      <c r="E157" t="inlineStr">
        <is>
          <t>ÖREBRO</t>
        </is>
      </c>
      <c r="G157" t="n">
        <v>1.6</v>
      </c>
      <c r="H157" t="n">
        <v>0</v>
      </c>
      <c r="I157" t="n">
        <v>0</v>
      </c>
      <c r="J157" t="n">
        <v>0</v>
      </c>
      <c r="K157" t="n">
        <v>0</v>
      </c>
      <c r="L157" t="n">
        <v>0</v>
      </c>
      <c r="M157" t="n">
        <v>0</v>
      </c>
      <c r="N157" t="n">
        <v>0</v>
      </c>
      <c r="O157" t="n">
        <v>0</v>
      </c>
      <c r="P157" t="n">
        <v>0</v>
      </c>
      <c r="Q157" t="n">
        <v>0</v>
      </c>
      <c r="R157" s="2" t="inlineStr"/>
    </row>
    <row r="158" ht="15" customHeight="1">
      <c r="A158" t="inlineStr">
        <is>
          <t>A 51268-2022</t>
        </is>
      </c>
      <c r="B158" s="1" t="n">
        <v>44868</v>
      </c>
      <c r="C158" s="1" t="n">
        <v>46041</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36448-2025</t>
        </is>
      </c>
      <c r="B159" s="1" t="n">
        <v>45869.41929398148</v>
      </c>
      <c r="C159" s="1" t="n">
        <v>46041</v>
      </c>
      <c r="D159" t="inlineStr">
        <is>
          <t>ÖREBRO LÄN</t>
        </is>
      </c>
      <c r="E159" t="inlineStr">
        <is>
          <t>ÖREBRO</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36447-2025</t>
        </is>
      </c>
      <c r="B160" s="1" t="n">
        <v>45869.41387731482</v>
      </c>
      <c r="C160" s="1" t="n">
        <v>46041</v>
      </c>
      <c r="D160" t="inlineStr">
        <is>
          <t>ÖREBRO LÄN</t>
        </is>
      </c>
      <c r="E160" t="inlineStr">
        <is>
          <t>ÖREBRO</t>
        </is>
      </c>
      <c r="F160" t="inlineStr">
        <is>
          <t>Övriga Aktiebolag</t>
        </is>
      </c>
      <c r="G160" t="n">
        <v>12.6</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46041</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26509-2021</t>
        </is>
      </c>
      <c r="B162" s="1" t="n">
        <v>44348.45107638889</v>
      </c>
      <c r="C162" s="1" t="n">
        <v>46041</v>
      </c>
      <c r="D162" t="inlineStr">
        <is>
          <t>ÖREBRO LÄN</t>
        </is>
      </c>
      <c r="E162" t="inlineStr">
        <is>
          <t>ÖREBRO</t>
        </is>
      </c>
      <c r="G162" t="n">
        <v>2.5</v>
      </c>
      <c r="H162" t="n">
        <v>0</v>
      </c>
      <c r="I162" t="n">
        <v>0</v>
      </c>
      <c r="J162" t="n">
        <v>0</v>
      </c>
      <c r="K162" t="n">
        <v>0</v>
      </c>
      <c r="L162" t="n">
        <v>0</v>
      </c>
      <c r="M162" t="n">
        <v>0</v>
      </c>
      <c r="N162" t="n">
        <v>0</v>
      </c>
      <c r="O162" t="n">
        <v>0</v>
      </c>
      <c r="P162" t="n">
        <v>0</v>
      </c>
      <c r="Q162" t="n">
        <v>0</v>
      </c>
      <c r="R162" s="2" t="inlineStr"/>
    </row>
    <row r="163" ht="15" customHeight="1">
      <c r="A163" t="inlineStr">
        <is>
          <t>A 46757-2021</t>
        </is>
      </c>
      <c r="B163" s="1" t="n">
        <v>44445</v>
      </c>
      <c r="C163" s="1" t="n">
        <v>46041</v>
      </c>
      <c r="D163" t="inlineStr">
        <is>
          <t>ÖREBRO LÄN</t>
        </is>
      </c>
      <c r="E163" t="inlineStr">
        <is>
          <t>ÖREBRO</t>
        </is>
      </c>
      <c r="G163" t="n">
        <v>5.6</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46041</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29554-2025</t>
        </is>
      </c>
      <c r="B165" s="1" t="n">
        <v>45825</v>
      </c>
      <c r="C165" s="1" t="n">
        <v>46041</v>
      </c>
      <c r="D165" t="inlineStr">
        <is>
          <t>ÖREBRO LÄN</t>
        </is>
      </c>
      <c r="E165" t="inlineStr">
        <is>
          <t>ÖREBRO</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40312-2021</t>
        </is>
      </c>
      <c r="B166" s="1" t="n">
        <v>44419</v>
      </c>
      <c r="C166" s="1" t="n">
        <v>46041</v>
      </c>
      <c r="D166" t="inlineStr">
        <is>
          <t>ÖREBRO LÄN</t>
        </is>
      </c>
      <c r="E166" t="inlineStr">
        <is>
          <t>ÖREBRO</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30374-2023</t>
        </is>
      </c>
      <c r="B167" s="1" t="n">
        <v>45111</v>
      </c>
      <c r="C167" s="1" t="n">
        <v>46041</v>
      </c>
      <c r="D167" t="inlineStr">
        <is>
          <t>ÖREBRO LÄN</t>
        </is>
      </c>
      <c r="E167" t="inlineStr">
        <is>
          <t>ÖREBRO</t>
        </is>
      </c>
      <c r="F167" t="inlineStr">
        <is>
          <t>Övriga Aktiebolag</t>
        </is>
      </c>
      <c r="G167" t="n">
        <v>2.3</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46041</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5401-2022</t>
        </is>
      </c>
      <c r="B169" s="1" t="n">
        <v>44595</v>
      </c>
      <c r="C169" s="1" t="n">
        <v>46041</v>
      </c>
      <c r="D169" t="inlineStr">
        <is>
          <t>ÖREBRO LÄN</t>
        </is>
      </c>
      <c r="E169" t="inlineStr">
        <is>
          <t>ÖREBRO</t>
        </is>
      </c>
      <c r="G169" t="n">
        <v>2.3</v>
      </c>
      <c r="H169" t="n">
        <v>0</v>
      </c>
      <c r="I169" t="n">
        <v>0</v>
      </c>
      <c r="J169" t="n">
        <v>0</v>
      </c>
      <c r="K169" t="n">
        <v>0</v>
      </c>
      <c r="L169" t="n">
        <v>0</v>
      </c>
      <c r="M169" t="n">
        <v>0</v>
      </c>
      <c r="N169" t="n">
        <v>0</v>
      </c>
      <c r="O169" t="n">
        <v>0</v>
      </c>
      <c r="P169" t="n">
        <v>0</v>
      </c>
      <c r="Q169" t="n">
        <v>0</v>
      </c>
      <c r="R169" s="2" t="inlineStr"/>
    </row>
    <row r="170" ht="15" customHeight="1">
      <c r="A170" t="inlineStr">
        <is>
          <t>A 41678-2024</t>
        </is>
      </c>
      <c r="B170" s="1" t="n">
        <v>45560</v>
      </c>
      <c r="C170" s="1" t="n">
        <v>46041</v>
      </c>
      <c r="D170" t="inlineStr">
        <is>
          <t>ÖREBRO LÄN</t>
        </is>
      </c>
      <c r="E170" t="inlineStr">
        <is>
          <t>ÖREBRO</t>
        </is>
      </c>
      <c r="G170" t="n">
        <v>11.3</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46041</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39003-2025</t>
        </is>
      </c>
      <c r="B172" s="1" t="n">
        <v>45888.34467592592</v>
      </c>
      <c r="C172" s="1" t="n">
        <v>46041</v>
      </c>
      <c r="D172" t="inlineStr">
        <is>
          <t>ÖREBRO LÄN</t>
        </is>
      </c>
      <c r="E172" t="inlineStr">
        <is>
          <t>ÖREBRO</t>
        </is>
      </c>
      <c r="G172" t="n">
        <v>3.7</v>
      </c>
      <c r="H172" t="n">
        <v>0</v>
      </c>
      <c r="I172" t="n">
        <v>0</v>
      </c>
      <c r="J172" t="n">
        <v>0</v>
      </c>
      <c r="K172" t="n">
        <v>0</v>
      </c>
      <c r="L172" t="n">
        <v>0</v>
      </c>
      <c r="M172" t="n">
        <v>0</v>
      </c>
      <c r="N172" t="n">
        <v>0</v>
      </c>
      <c r="O172" t="n">
        <v>0</v>
      </c>
      <c r="P172" t="n">
        <v>0</v>
      </c>
      <c r="Q172" t="n">
        <v>0</v>
      </c>
      <c r="R172" s="2" t="inlineStr"/>
    </row>
    <row r="173" ht="15" customHeight="1">
      <c r="A173" t="inlineStr">
        <is>
          <t>A 15422-2022</t>
        </is>
      </c>
      <c r="B173" s="1" t="n">
        <v>44659.63753472222</v>
      </c>
      <c r="C173" s="1" t="n">
        <v>46041</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54678-2023</t>
        </is>
      </c>
      <c r="B174" s="1" t="n">
        <v>45235</v>
      </c>
      <c r="C174" s="1" t="n">
        <v>46041</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46041</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46323-2024</t>
        </is>
      </c>
      <c r="B176" s="1" t="n">
        <v>45581.84538194445</v>
      </c>
      <c r="C176" s="1" t="n">
        <v>46041</v>
      </c>
      <c r="D176" t="inlineStr">
        <is>
          <t>ÖREBRO LÄN</t>
        </is>
      </c>
      <c r="E176" t="inlineStr">
        <is>
          <t>ÖREBRO</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39446-2025</t>
        </is>
      </c>
      <c r="B177" s="1" t="n">
        <v>45889.70388888889</v>
      </c>
      <c r="C177" s="1" t="n">
        <v>46041</v>
      </c>
      <c r="D177" t="inlineStr">
        <is>
          <t>ÖREBRO LÄN</t>
        </is>
      </c>
      <c r="E177" t="inlineStr">
        <is>
          <t>ÖREBRO</t>
        </is>
      </c>
      <c r="F177" t="inlineStr">
        <is>
          <t>Kyrkan</t>
        </is>
      </c>
      <c r="G177" t="n">
        <v>3.2</v>
      </c>
      <c r="H177" t="n">
        <v>0</v>
      </c>
      <c r="I177" t="n">
        <v>0</v>
      </c>
      <c r="J177" t="n">
        <v>0</v>
      </c>
      <c r="K177" t="n">
        <v>0</v>
      </c>
      <c r="L177" t="n">
        <v>0</v>
      </c>
      <c r="M177" t="n">
        <v>0</v>
      </c>
      <c r="N177" t="n">
        <v>0</v>
      </c>
      <c r="O177" t="n">
        <v>0</v>
      </c>
      <c r="P177" t="n">
        <v>0</v>
      </c>
      <c r="Q177" t="n">
        <v>0</v>
      </c>
      <c r="R177" s="2" t="inlineStr"/>
    </row>
    <row r="178" ht="15" customHeight="1">
      <c r="A178" t="inlineStr">
        <is>
          <t>A 39479-2025</t>
        </is>
      </c>
      <c r="B178" s="1" t="n">
        <v>45890.34752314815</v>
      </c>
      <c r="C178" s="1" t="n">
        <v>46041</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58219-2024</t>
        </is>
      </c>
      <c r="B179" s="1" t="n">
        <v>45632</v>
      </c>
      <c r="C179" s="1" t="n">
        <v>46041</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48644-2024</t>
        </is>
      </c>
      <c r="B180" s="1" t="n">
        <v>45593.47466435185</v>
      </c>
      <c r="C180" s="1" t="n">
        <v>46041</v>
      </c>
      <c r="D180" t="inlineStr">
        <is>
          <t>ÖREBRO LÄN</t>
        </is>
      </c>
      <c r="E180" t="inlineStr">
        <is>
          <t>ÖREBRO</t>
        </is>
      </c>
      <c r="F180" t="inlineStr">
        <is>
          <t>Övriga Aktiebolag</t>
        </is>
      </c>
      <c r="G180" t="n">
        <v>1.1</v>
      </c>
      <c r="H180" t="n">
        <v>0</v>
      </c>
      <c r="I180" t="n">
        <v>0</v>
      </c>
      <c r="J180" t="n">
        <v>0</v>
      </c>
      <c r="K180" t="n">
        <v>0</v>
      </c>
      <c r="L180" t="n">
        <v>0</v>
      </c>
      <c r="M180" t="n">
        <v>0</v>
      </c>
      <c r="N180" t="n">
        <v>0</v>
      </c>
      <c r="O180" t="n">
        <v>0</v>
      </c>
      <c r="P180" t="n">
        <v>0</v>
      </c>
      <c r="Q180" t="n">
        <v>0</v>
      </c>
      <c r="R180" s="2" t="inlineStr"/>
    </row>
    <row r="181" ht="15" customHeight="1">
      <c r="A181" t="inlineStr">
        <is>
          <t>A 42518-2021</t>
        </is>
      </c>
      <c r="B181" s="1" t="n">
        <v>44427.81496527778</v>
      </c>
      <c r="C181" s="1" t="n">
        <v>46041</v>
      </c>
      <c r="D181" t="inlineStr">
        <is>
          <t>ÖREBRO LÄN</t>
        </is>
      </c>
      <c r="E181" t="inlineStr">
        <is>
          <t>ÖREBRO</t>
        </is>
      </c>
      <c r="G181" t="n">
        <v>4.5</v>
      </c>
      <c r="H181" t="n">
        <v>0</v>
      </c>
      <c r="I181" t="n">
        <v>0</v>
      </c>
      <c r="J181" t="n">
        <v>0</v>
      </c>
      <c r="K181" t="n">
        <v>0</v>
      </c>
      <c r="L181" t="n">
        <v>0</v>
      </c>
      <c r="M181" t="n">
        <v>0</v>
      </c>
      <c r="N181" t="n">
        <v>0</v>
      </c>
      <c r="O181" t="n">
        <v>0</v>
      </c>
      <c r="P181" t="n">
        <v>0</v>
      </c>
      <c r="Q181" t="n">
        <v>0</v>
      </c>
      <c r="R181" s="2" t="inlineStr"/>
    </row>
    <row r="182" ht="15" customHeight="1">
      <c r="A182" t="inlineStr">
        <is>
          <t>A 14545-2023</t>
        </is>
      </c>
      <c r="B182" s="1" t="n">
        <v>45013.34895833334</v>
      </c>
      <c r="C182" s="1" t="n">
        <v>46041</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38057-2025</t>
        </is>
      </c>
      <c r="B183" s="1" t="n">
        <v>45882.42570601852</v>
      </c>
      <c r="C183" s="1" t="n">
        <v>46041</v>
      </c>
      <c r="D183" t="inlineStr">
        <is>
          <t>ÖREBRO LÄN</t>
        </is>
      </c>
      <c r="E183" t="inlineStr">
        <is>
          <t>ÖREBRO</t>
        </is>
      </c>
      <c r="G183" t="n">
        <v>3</v>
      </c>
      <c r="H183" t="n">
        <v>0</v>
      </c>
      <c r="I183" t="n">
        <v>0</v>
      </c>
      <c r="J183" t="n">
        <v>0</v>
      </c>
      <c r="K183" t="n">
        <v>0</v>
      </c>
      <c r="L183" t="n">
        <v>0</v>
      </c>
      <c r="M183" t="n">
        <v>0</v>
      </c>
      <c r="N183" t="n">
        <v>0</v>
      </c>
      <c r="O183" t="n">
        <v>0</v>
      </c>
      <c r="P183" t="n">
        <v>0</v>
      </c>
      <c r="Q183" t="n">
        <v>0</v>
      </c>
      <c r="R183" s="2" t="inlineStr"/>
    </row>
    <row r="184" ht="15" customHeight="1">
      <c r="A184" t="inlineStr">
        <is>
          <t>A 27112-2023</t>
        </is>
      </c>
      <c r="B184" s="1" t="n">
        <v>45096</v>
      </c>
      <c r="C184" s="1" t="n">
        <v>46041</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14524-2025</t>
        </is>
      </c>
      <c r="B185" s="1" t="n">
        <v>45741.64815972222</v>
      </c>
      <c r="C185" s="1" t="n">
        <v>46041</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19978-2025</t>
        </is>
      </c>
      <c r="B186" s="1" t="n">
        <v>45771.7062037037</v>
      </c>
      <c r="C186" s="1" t="n">
        <v>46041</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46834-2022</t>
        </is>
      </c>
      <c r="B187" s="1" t="n">
        <v>44851</v>
      </c>
      <c r="C187" s="1" t="n">
        <v>46041</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57638-2022</t>
        </is>
      </c>
      <c r="B188" s="1" t="n">
        <v>44897</v>
      </c>
      <c r="C188" s="1" t="n">
        <v>46041</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40330-2025</t>
        </is>
      </c>
      <c r="B189" s="1" t="n">
        <v>45895.4531712963</v>
      </c>
      <c r="C189" s="1" t="n">
        <v>46041</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40332-2025</t>
        </is>
      </c>
      <c r="B190" s="1" t="n">
        <v>45895.46060185185</v>
      </c>
      <c r="C190" s="1" t="n">
        <v>46041</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2152-2023</t>
        </is>
      </c>
      <c r="B191" s="1" t="n">
        <v>44941.55056712963</v>
      </c>
      <c r="C191" s="1" t="n">
        <v>46041</v>
      </c>
      <c r="D191" t="inlineStr">
        <is>
          <t>ÖREBRO LÄN</t>
        </is>
      </c>
      <c r="E191" t="inlineStr">
        <is>
          <t>ÖREBRO</t>
        </is>
      </c>
      <c r="G191" t="n">
        <v>8</v>
      </c>
      <c r="H191" t="n">
        <v>0</v>
      </c>
      <c r="I191" t="n">
        <v>0</v>
      </c>
      <c r="J191" t="n">
        <v>0</v>
      </c>
      <c r="K191" t="n">
        <v>0</v>
      </c>
      <c r="L191" t="n">
        <v>0</v>
      </c>
      <c r="M191" t="n">
        <v>0</v>
      </c>
      <c r="N191" t="n">
        <v>0</v>
      </c>
      <c r="O191" t="n">
        <v>0</v>
      </c>
      <c r="P191" t="n">
        <v>0</v>
      </c>
      <c r="Q191" t="n">
        <v>0</v>
      </c>
      <c r="R191" s="2" t="inlineStr"/>
    </row>
    <row r="192" ht="15" customHeight="1">
      <c r="A192" t="inlineStr">
        <is>
          <t>A 55745-2023</t>
        </is>
      </c>
      <c r="B192" s="1" t="n">
        <v>45239.44811342593</v>
      </c>
      <c r="C192" s="1" t="n">
        <v>46041</v>
      </c>
      <c r="D192" t="inlineStr">
        <is>
          <t>ÖREBRO LÄN</t>
        </is>
      </c>
      <c r="E192" t="inlineStr">
        <is>
          <t>ÖREBRO</t>
        </is>
      </c>
      <c r="G192" t="n">
        <v>13.3</v>
      </c>
      <c r="H192" t="n">
        <v>0</v>
      </c>
      <c r="I192" t="n">
        <v>0</v>
      </c>
      <c r="J192" t="n">
        <v>0</v>
      </c>
      <c r="K192" t="n">
        <v>0</v>
      </c>
      <c r="L192" t="n">
        <v>0</v>
      </c>
      <c r="M192" t="n">
        <v>0</v>
      </c>
      <c r="N192" t="n">
        <v>0</v>
      </c>
      <c r="O192" t="n">
        <v>0</v>
      </c>
      <c r="P192" t="n">
        <v>0</v>
      </c>
      <c r="Q192" t="n">
        <v>0</v>
      </c>
      <c r="R192" s="2" t="inlineStr"/>
    </row>
    <row r="193" ht="15" customHeight="1">
      <c r="A193" t="inlineStr">
        <is>
          <t>A 71285-2021</t>
        </is>
      </c>
      <c r="B193" s="1" t="n">
        <v>44539.62236111111</v>
      </c>
      <c r="C193" s="1" t="n">
        <v>46041</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64018-2025</t>
        </is>
      </c>
      <c r="B194" s="1" t="n">
        <v>46021.4546412037</v>
      </c>
      <c r="C194" s="1" t="n">
        <v>46041</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19831-2021</t>
        </is>
      </c>
      <c r="B195" s="1" t="n">
        <v>44313</v>
      </c>
      <c r="C195" s="1" t="n">
        <v>46041</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5357-2024</t>
        </is>
      </c>
      <c r="B196" s="1" t="n">
        <v>45331</v>
      </c>
      <c r="C196" s="1" t="n">
        <v>46041</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45400.85319444445</v>
      </c>
      <c r="C197" s="1" t="n">
        <v>46041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46041</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64019-2025</t>
        </is>
      </c>
      <c r="B199" s="1" t="n">
        <v>46021.45914351852</v>
      </c>
      <c r="C199" s="1" t="n">
        <v>46041</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60289-2023</t>
        </is>
      </c>
      <c r="B200" s="1" t="n">
        <v>45257</v>
      </c>
      <c r="C200" s="1" t="n">
        <v>46041</v>
      </c>
      <c r="D200" t="inlineStr">
        <is>
          <t>ÖREBRO LÄN</t>
        </is>
      </c>
      <c r="E200" t="inlineStr">
        <is>
          <t>ÖREBRO</t>
        </is>
      </c>
      <c r="G200" t="n">
        <v>10.9</v>
      </c>
      <c r="H200" t="n">
        <v>0</v>
      </c>
      <c r="I200" t="n">
        <v>0</v>
      </c>
      <c r="J200" t="n">
        <v>0</v>
      </c>
      <c r="K200" t="n">
        <v>0</v>
      </c>
      <c r="L200" t="n">
        <v>0</v>
      </c>
      <c r="M200" t="n">
        <v>0</v>
      </c>
      <c r="N200" t="n">
        <v>0</v>
      </c>
      <c r="O200" t="n">
        <v>0</v>
      </c>
      <c r="P200" t="n">
        <v>0</v>
      </c>
      <c r="Q200" t="n">
        <v>0</v>
      </c>
      <c r="R200" s="2" t="inlineStr"/>
    </row>
    <row r="201" ht="15" customHeight="1">
      <c r="A201" t="inlineStr">
        <is>
          <t>A 9585-2025</t>
        </is>
      </c>
      <c r="B201" s="1" t="n">
        <v>45715.63409722222</v>
      </c>
      <c r="C201" s="1" t="n">
        <v>46041</v>
      </c>
      <c r="D201" t="inlineStr">
        <is>
          <t>ÖREBRO LÄN</t>
        </is>
      </c>
      <c r="E201" t="inlineStr">
        <is>
          <t>ÖREBRO</t>
        </is>
      </c>
      <c r="G201" t="n">
        <v>3.4</v>
      </c>
      <c r="H201" t="n">
        <v>0</v>
      </c>
      <c r="I201" t="n">
        <v>0</v>
      </c>
      <c r="J201" t="n">
        <v>0</v>
      </c>
      <c r="K201" t="n">
        <v>0</v>
      </c>
      <c r="L201" t="n">
        <v>0</v>
      </c>
      <c r="M201" t="n">
        <v>0</v>
      </c>
      <c r="N201" t="n">
        <v>0</v>
      </c>
      <c r="O201" t="n">
        <v>0</v>
      </c>
      <c r="P201" t="n">
        <v>0</v>
      </c>
      <c r="Q201" t="n">
        <v>0</v>
      </c>
      <c r="R201" s="2" t="inlineStr"/>
    </row>
    <row r="202" ht="15" customHeight="1">
      <c r="A202" t="inlineStr">
        <is>
          <t>A 6879-2024</t>
        </is>
      </c>
      <c r="B202" s="1" t="n">
        <v>45342.85280092592</v>
      </c>
      <c r="C202" s="1" t="n">
        <v>46041</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681-2024</t>
        </is>
      </c>
      <c r="B203" s="1" t="n">
        <v>45300</v>
      </c>
      <c r="C203" s="1" t="n">
        <v>46041</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57537-2025</t>
        </is>
      </c>
      <c r="B204" s="1" t="n">
        <v>45980.6446875</v>
      </c>
      <c r="C204" s="1" t="n">
        <v>46041</v>
      </c>
      <c r="D204" t="inlineStr">
        <is>
          <t>ÖREBRO LÄN</t>
        </is>
      </c>
      <c r="E204" t="inlineStr">
        <is>
          <t>ÖREBRO</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12099-2023</t>
        </is>
      </c>
      <c r="B205" s="1" t="n">
        <v>44998.37043981482</v>
      </c>
      <c r="C205" s="1" t="n">
        <v>46041</v>
      </c>
      <c r="D205" t="inlineStr">
        <is>
          <t>ÖREBRO LÄN</t>
        </is>
      </c>
      <c r="E205" t="inlineStr">
        <is>
          <t>ÖREBRO</t>
        </is>
      </c>
      <c r="G205" t="n">
        <v>0.9</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45386.40489583334</v>
      </c>
      <c r="C206" s="1" t="n">
        <v>46041</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41669-2025</t>
        </is>
      </c>
      <c r="B207" s="1" t="n">
        <v>45902.36149305556</v>
      </c>
      <c r="C207" s="1" t="n">
        <v>46041</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41412-2025</t>
        </is>
      </c>
      <c r="B208" s="1" t="n">
        <v>45901.3549537037</v>
      </c>
      <c r="C208" s="1" t="n">
        <v>46041</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58277-2022</t>
        </is>
      </c>
      <c r="B209" s="1" t="n">
        <v>44901.48108796297</v>
      </c>
      <c r="C209" s="1" t="n">
        <v>46041</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5125-2024</t>
        </is>
      </c>
      <c r="B210" s="1" t="n">
        <v>45330</v>
      </c>
      <c r="C210" s="1" t="n">
        <v>46041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46041</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31906-2023</t>
        </is>
      </c>
      <c r="B212" s="1" t="n">
        <v>45118.8353125</v>
      </c>
      <c r="C212" s="1" t="n">
        <v>46041</v>
      </c>
      <c r="D212" t="inlineStr">
        <is>
          <t>ÖREBRO LÄN</t>
        </is>
      </c>
      <c r="E212" t="inlineStr">
        <is>
          <t>ÖREBRO</t>
        </is>
      </c>
      <c r="G212" t="n">
        <v>9</v>
      </c>
      <c r="H212" t="n">
        <v>0</v>
      </c>
      <c r="I212" t="n">
        <v>0</v>
      </c>
      <c r="J212" t="n">
        <v>0</v>
      </c>
      <c r="K212" t="n">
        <v>0</v>
      </c>
      <c r="L212" t="n">
        <v>0</v>
      </c>
      <c r="M212" t="n">
        <v>0</v>
      </c>
      <c r="N212" t="n">
        <v>0</v>
      </c>
      <c r="O212" t="n">
        <v>0</v>
      </c>
      <c r="P212" t="n">
        <v>0</v>
      </c>
      <c r="Q212" t="n">
        <v>0</v>
      </c>
      <c r="R212" s="2" t="inlineStr"/>
    </row>
    <row r="213" ht="15" customHeight="1">
      <c r="A213" t="inlineStr">
        <is>
          <t>A 52256-2023</t>
        </is>
      </c>
      <c r="B213" s="1" t="n">
        <v>45224.51471064815</v>
      </c>
      <c r="C213" s="1" t="n">
        <v>46041</v>
      </c>
      <c r="D213" t="inlineStr">
        <is>
          <t>ÖREBRO LÄN</t>
        </is>
      </c>
      <c r="E213" t="inlineStr">
        <is>
          <t>ÖREBRO</t>
        </is>
      </c>
      <c r="G213" t="n">
        <v>2.8</v>
      </c>
      <c r="H213" t="n">
        <v>0</v>
      </c>
      <c r="I213" t="n">
        <v>0</v>
      </c>
      <c r="J213" t="n">
        <v>0</v>
      </c>
      <c r="K213" t="n">
        <v>0</v>
      </c>
      <c r="L213" t="n">
        <v>0</v>
      </c>
      <c r="M213" t="n">
        <v>0</v>
      </c>
      <c r="N213" t="n">
        <v>0</v>
      </c>
      <c r="O213" t="n">
        <v>0</v>
      </c>
      <c r="P213" t="n">
        <v>0</v>
      </c>
      <c r="Q213" t="n">
        <v>0</v>
      </c>
      <c r="R213" s="2" t="inlineStr"/>
    </row>
    <row r="214" ht="15" customHeight="1">
      <c r="A214" t="inlineStr">
        <is>
          <t>A 58587-2025</t>
        </is>
      </c>
      <c r="B214" s="1" t="n">
        <v>45986.40208333333</v>
      </c>
      <c r="C214" s="1" t="n">
        <v>46041</v>
      </c>
      <c r="D214" t="inlineStr">
        <is>
          <t>ÖREBRO LÄN</t>
        </is>
      </c>
      <c r="E214" t="inlineStr">
        <is>
          <t>ÖREBRO</t>
        </is>
      </c>
      <c r="G214" t="n">
        <v>1.6</v>
      </c>
      <c r="H214" t="n">
        <v>0</v>
      </c>
      <c r="I214" t="n">
        <v>0</v>
      </c>
      <c r="J214" t="n">
        <v>0</v>
      </c>
      <c r="K214" t="n">
        <v>0</v>
      </c>
      <c r="L214" t="n">
        <v>0</v>
      </c>
      <c r="M214" t="n">
        <v>0</v>
      </c>
      <c r="N214" t="n">
        <v>0</v>
      </c>
      <c r="O214" t="n">
        <v>0</v>
      </c>
      <c r="P214" t="n">
        <v>0</v>
      </c>
      <c r="Q214" t="n">
        <v>0</v>
      </c>
      <c r="R214" s="2" t="inlineStr"/>
    </row>
    <row r="215" ht="15" customHeight="1">
      <c r="A215" t="inlineStr">
        <is>
          <t>A 6387-2021</t>
        </is>
      </c>
      <c r="B215" s="1" t="n">
        <v>44235</v>
      </c>
      <c r="C215" s="1" t="n">
        <v>46041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10937-2024</t>
        </is>
      </c>
      <c r="B216" s="1" t="n">
        <v>45370.44461805555</v>
      </c>
      <c r="C216" s="1" t="n">
        <v>46041</v>
      </c>
      <c r="D216" t="inlineStr">
        <is>
          <t>ÖREBRO LÄN</t>
        </is>
      </c>
      <c r="E216" t="inlineStr">
        <is>
          <t>ÖREBRO</t>
        </is>
      </c>
      <c r="G216" t="n">
        <v>4.3</v>
      </c>
      <c r="H216" t="n">
        <v>0</v>
      </c>
      <c r="I216" t="n">
        <v>0</v>
      </c>
      <c r="J216" t="n">
        <v>0</v>
      </c>
      <c r="K216" t="n">
        <v>0</v>
      </c>
      <c r="L216" t="n">
        <v>0</v>
      </c>
      <c r="M216" t="n">
        <v>0</v>
      </c>
      <c r="N216" t="n">
        <v>0</v>
      </c>
      <c r="O216" t="n">
        <v>0</v>
      </c>
      <c r="P216" t="n">
        <v>0</v>
      </c>
      <c r="Q216" t="n">
        <v>0</v>
      </c>
      <c r="R216" s="2" t="inlineStr"/>
    </row>
    <row r="217" ht="15" customHeight="1">
      <c r="A217" t="inlineStr">
        <is>
          <t>A 22079-2023</t>
        </is>
      </c>
      <c r="B217" s="1" t="n">
        <v>45069</v>
      </c>
      <c r="C217" s="1" t="n">
        <v>46041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52447-2024</t>
        </is>
      </c>
      <c r="B218" s="1" t="n">
        <v>45609.49157407408</v>
      </c>
      <c r="C218" s="1" t="n">
        <v>46041</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58230-2025</t>
        </is>
      </c>
      <c r="B219" s="1" t="n">
        <v>45985.38037037037</v>
      </c>
      <c r="C219" s="1" t="n">
        <v>46041</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3841-2023</t>
        </is>
      </c>
      <c r="B220" s="1" t="n">
        <v>44951</v>
      </c>
      <c r="C220" s="1" t="n">
        <v>46041</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46041</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46041</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45216.73533564815</v>
      </c>
      <c r="C223" s="1" t="n">
        <v>46041</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43612-2022</t>
        </is>
      </c>
      <c r="B224" s="1" t="n">
        <v>44837</v>
      </c>
      <c r="C224" s="1" t="n">
        <v>46041</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42138-2024</t>
        </is>
      </c>
      <c r="B225" s="1" t="n">
        <v>45562.41854166667</v>
      </c>
      <c r="C225" s="1" t="n">
        <v>46041</v>
      </c>
      <c r="D225" t="inlineStr">
        <is>
          <t>ÖREBRO LÄN</t>
        </is>
      </c>
      <c r="E225" t="inlineStr">
        <is>
          <t>ÖREBRO</t>
        </is>
      </c>
      <c r="G225" t="n">
        <v>1.4</v>
      </c>
      <c r="H225" t="n">
        <v>0</v>
      </c>
      <c r="I225" t="n">
        <v>0</v>
      </c>
      <c r="J225" t="n">
        <v>0</v>
      </c>
      <c r="K225" t="n">
        <v>0</v>
      </c>
      <c r="L225" t="n">
        <v>0</v>
      </c>
      <c r="M225" t="n">
        <v>0</v>
      </c>
      <c r="N225" t="n">
        <v>0</v>
      </c>
      <c r="O225" t="n">
        <v>0</v>
      </c>
      <c r="P225" t="n">
        <v>0</v>
      </c>
      <c r="Q225" t="n">
        <v>0</v>
      </c>
      <c r="R225" s="2" t="inlineStr"/>
    </row>
    <row r="226" ht="15" customHeight="1">
      <c r="A226" t="inlineStr">
        <is>
          <t>A 34874-2022</t>
        </is>
      </c>
      <c r="B226" s="1" t="n">
        <v>44796</v>
      </c>
      <c r="C226" s="1" t="n">
        <v>46041</v>
      </c>
      <c r="D226" t="inlineStr">
        <is>
          <t>ÖREBRO LÄN</t>
        </is>
      </c>
      <c r="E226" t="inlineStr">
        <is>
          <t>ÖREBRO</t>
        </is>
      </c>
      <c r="F226" t="inlineStr">
        <is>
          <t>Övriga Aktiebolag</t>
        </is>
      </c>
      <c r="G226" t="n">
        <v>2.3</v>
      </c>
      <c r="H226" t="n">
        <v>0</v>
      </c>
      <c r="I226" t="n">
        <v>0</v>
      </c>
      <c r="J226" t="n">
        <v>0</v>
      </c>
      <c r="K226" t="n">
        <v>0</v>
      </c>
      <c r="L226" t="n">
        <v>0</v>
      </c>
      <c r="M226" t="n">
        <v>0</v>
      </c>
      <c r="N226" t="n">
        <v>0</v>
      </c>
      <c r="O226" t="n">
        <v>0</v>
      </c>
      <c r="P226" t="n">
        <v>0</v>
      </c>
      <c r="Q226" t="n">
        <v>0</v>
      </c>
      <c r="R226" s="2" t="inlineStr"/>
    </row>
    <row r="227" ht="15" customHeight="1">
      <c r="A227" t="inlineStr">
        <is>
          <t>A 59145-2025</t>
        </is>
      </c>
      <c r="B227" s="1" t="n">
        <v>45988.52015046297</v>
      </c>
      <c r="C227" s="1" t="n">
        <v>46041</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38489-2023</t>
        </is>
      </c>
      <c r="B228" s="1" t="n">
        <v>45162</v>
      </c>
      <c r="C228" s="1" t="n">
        <v>46041</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70719-2021</t>
        </is>
      </c>
      <c r="B229" s="1" t="n">
        <v>44537</v>
      </c>
      <c r="C229" s="1" t="n">
        <v>46041</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38573-2023</t>
        </is>
      </c>
      <c r="B230" s="1" t="n">
        <v>45162.61837962963</v>
      </c>
      <c r="C230" s="1" t="n">
        <v>46041</v>
      </c>
      <c r="D230" t="inlineStr">
        <is>
          <t>ÖREBRO LÄN</t>
        </is>
      </c>
      <c r="E230" t="inlineStr">
        <is>
          <t>ÖREBRO</t>
        </is>
      </c>
      <c r="G230" t="n">
        <v>2.2</v>
      </c>
      <c r="H230" t="n">
        <v>0</v>
      </c>
      <c r="I230" t="n">
        <v>0</v>
      </c>
      <c r="J230" t="n">
        <v>0</v>
      </c>
      <c r="K230" t="n">
        <v>0</v>
      </c>
      <c r="L230" t="n">
        <v>0</v>
      </c>
      <c r="M230" t="n">
        <v>0</v>
      </c>
      <c r="N230" t="n">
        <v>0</v>
      </c>
      <c r="O230" t="n">
        <v>0</v>
      </c>
      <c r="P230" t="n">
        <v>0</v>
      </c>
      <c r="Q230" t="n">
        <v>0</v>
      </c>
      <c r="R230" s="2" t="inlineStr"/>
    </row>
    <row r="231" ht="15" customHeight="1">
      <c r="A231" t="inlineStr">
        <is>
          <t>A 4757-2024</t>
        </is>
      </c>
      <c r="B231" s="1" t="n">
        <v>45328</v>
      </c>
      <c r="C231" s="1" t="n">
        <v>46041</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58835-2025</t>
        </is>
      </c>
      <c r="B232" s="1" t="n">
        <v>45987.35519675926</v>
      </c>
      <c r="C232" s="1" t="n">
        <v>46041</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61593-2023</t>
        </is>
      </c>
      <c r="B233" s="1" t="n">
        <v>45265</v>
      </c>
      <c r="C233" s="1" t="n">
        <v>46041</v>
      </c>
      <c r="D233" t="inlineStr">
        <is>
          <t>ÖREBRO LÄN</t>
        </is>
      </c>
      <c r="E233" t="inlineStr">
        <is>
          <t>ÖREBRO</t>
        </is>
      </c>
      <c r="G233" t="n">
        <v>2.5</v>
      </c>
      <c r="H233" t="n">
        <v>0</v>
      </c>
      <c r="I233" t="n">
        <v>0</v>
      </c>
      <c r="J233" t="n">
        <v>0</v>
      </c>
      <c r="K233" t="n">
        <v>0</v>
      </c>
      <c r="L233" t="n">
        <v>0</v>
      </c>
      <c r="M233" t="n">
        <v>0</v>
      </c>
      <c r="N233" t="n">
        <v>0</v>
      </c>
      <c r="O233" t="n">
        <v>0</v>
      </c>
      <c r="P233" t="n">
        <v>0</v>
      </c>
      <c r="Q233" t="n">
        <v>0</v>
      </c>
      <c r="R233" s="2" t="inlineStr"/>
    </row>
    <row r="234" ht="15" customHeight="1">
      <c r="A234" t="inlineStr">
        <is>
          <t>A 38842-2022</t>
        </is>
      </c>
      <c r="B234" s="1" t="n">
        <v>44814</v>
      </c>
      <c r="C234" s="1" t="n">
        <v>46041</v>
      </c>
      <c r="D234" t="inlineStr">
        <is>
          <t>ÖREBRO LÄN</t>
        </is>
      </c>
      <c r="E234" t="inlineStr">
        <is>
          <t>ÖREBRO</t>
        </is>
      </c>
      <c r="G234" t="n">
        <v>5</v>
      </c>
      <c r="H234" t="n">
        <v>0</v>
      </c>
      <c r="I234" t="n">
        <v>0</v>
      </c>
      <c r="J234" t="n">
        <v>0</v>
      </c>
      <c r="K234" t="n">
        <v>0</v>
      </c>
      <c r="L234" t="n">
        <v>0</v>
      </c>
      <c r="M234" t="n">
        <v>0</v>
      </c>
      <c r="N234" t="n">
        <v>0</v>
      </c>
      <c r="O234" t="n">
        <v>0</v>
      </c>
      <c r="P234" t="n">
        <v>0</v>
      </c>
      <c r="Q234" t="n">
        <v>0</v>
      </c>
      <c r="R234" s="2" t="inlineStr"/>
    </row>
    <row r="235" ht="15" customHeight="1">
      <c r="A235" t="inlineStr">
        <is>
          <t>A 48140-2024</t>
        </is>
      </c>
      <c r="B235" s="1" t="n">
        <v>45589.66474537037</v>
      </c>
      <c r="C235" s="1" t="n">
        <v>46041</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40597-2021</t>
        </is>
      </c>
      <c r="B236" s="1" t="n">
        <v>44420</v>
      </c>
      <c r="C236" s="1" t="n">
        <v>46041</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8575-2021</t>
        </is>
      </c>
      <c r="B237" s="1" t="n">
        <v>44245</v>
      </c>
      <c r="C237" s="1" t="n">
        <v>46041</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2658-2023</t>
        </is>
      </c>
      <c r="B238" s="1" t="n">
        <v>44944</v>
      </c>
      <c r="C238" s="1" t="n">
        <v>46041</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11565-2023</t>
        </is>
      </c>
      <c r="B239" s="1" t="n">
        <v>44994</v>
      </c>
      <c r="C239" s="1" t="n">
        <v>46041</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16736-2023</t>
        </is>
      </c>
      <c r="B240" s="1" t="n">
        <v>45030.72328703704</v>
      </c>
      <c r="C240" s="1" t="n">
        <v>46041</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2630-2023</t>
        </is>
      </c>
      <c r="B241" s="1" t="n">
        <v>44944.39105324074</v>
      </c>
      <c r="C241" s="1" t="n">
        <v>46041</v>
      </c>
      <c r="D241" t="inlineStr">
        <is>
          <t>ÖREBRO LÄN</t>
        </is>
      </c>
      <c r="E241" t="inlineStr">
        <is>
          <t>ÖREBRO</t>
        </is>
      </c>
      <c r="G241" t="n">
        <v>6.1</v>
      </c>
      <c r="H241" t="n">
        <v>0</v>
      </c>
      <c r="I241" t="n">
        <v>0</v>
      </c>
      <c r="J241" t="n">
        <v>0</v>
      </c>
      <c r="K241" t="n">
        <v>0</v>
      </c>
      <c r="L241" t="n">
        <v>0</v>
      </c>
      <c r="M241" t="n">
        <v>0</v>
      </c>
      <c r="N241" t="n">
        <v>0</v>
      </c>
      <c r="O241" t="n">
        <v>0</v>
      </c>
      <c r="P241" t="n">
        <v>0</v>
      </c>
      <c r="Q241" t="n">
        <v>0</v>
      </c>
      <c r="R241" s="2" t="inlineStr"/>
    </row>
    <row r="242" ht="15" customHeight="1">
      <c r="A242" t="inlineStr">
        <is>
          <t>A 59312-2025</t>
        </is>
      </c>
      <c r="B242" s="1" t="n">
        <v>45989.30467592592</v>
      </c>
      <c r="C242" s="1" t="n">
        <v>46041</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26338-2021</t>
        </is>
      </c>
      <c r="B243" s="1" t="n">
        <v>44347</v>
      </c>
      <c r="C243" s="1" t="n">
        <v>46041</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30015-2023</t>
        </is>
      </c>
      <c r="B244" s="1" t="n">
        <v>45109</v>
      </c>
      <c r="C244" s="1" t="n">
        <v>46041</v>
      </c>
      <c r="D244" t="inlineStr">
        <is>
          <t>ÖREBRO LÄN</t>
        </is>
      </c>
      <c r="E244" t="inlineStr">
        <is>
          <t>ÖREBRO</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37968-2024</t>
        </is>
      </c>
      <c r="B245" s="1" t="n">
        <v>45544</v>
      </c>
      <c r="C245" s="1" t="n">
        <v>46041</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59313-2025</t>
        </is>
      </c>
      <c r="B246" s="1" t="n">
        <v>45989.30920138889</v>
      </c>
      <c r="C246" s="1" t="n">
        <v>46041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59856-2025</t>
        </is>
      </c>
      <c r="B247" s="1" t="n">
        <v>45992.74891203704</v>
      </c>
      <c r="C247" s="1" t="n">
        <v>46041</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1153-2026</t>
        </is>
      </c>
      <c r="B248" s="1" t="n">
        <v>46031.30899305556</v>
      </c>
      <c r="C248" s="1" t="n">
        <v>46041</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31326-2024</t>
        </is>
      </c>
      <c r="B249" s="1" t="n">
        <v>45504.5934375</v>
      </c>
      <c r="C249" s="1" t="n">
        <v>46041</v>
      </c>
      <c r="D249" t="inlineStr">
        <is>
          <t>ÖREBRO LÄN</t>
        </is>
      </c>
      <c r="E249" t="inlineStr">
        <is>
          <t>ÖREBRO</t>
        </is>
      </c>
      <c r="G249" t="n">
        <v>6.4</v>
      </c>
      <c r="H249" t="n">
        <v>0</v>
      </c>
      <c r="I249" t="n">
        <v>0</v>
      </c>
      <c r="J249" t="n">
        <v>0</v>
      </c>
      <c r="K249" t="n">
        <v>0</v>
      </c>
      <c r="L249" t="n">
        <v>0</v>
      </c>
      <c r="M249" t="n">
        <v>0</v>
      </c>
      <c r="N249" t="n">
        <v>0</v>
      </c>
      <c r="O249" t="n">
        <v>0</v>
      </c>
      <c r="P249" t="n">
        <v>0</v>
      </c>
      <c r="Q249" t="n">
        <v>0</v>
      </c>
      <c r="R249" s="2" t="inlineStr"/>
    </row>
    <row r="250" ht="15" customHeight="1">
      <c r="A250" t="inlineStr">
        <is>
          <t>A 59515-2025</t>
        </is>
      </c>
      <c r="B250" s="1" t="n">
        <v>45989.65238425926</v>
      </c>
      <c r="C250" s="1" t="n">
        <v>46041</v>
      </c>
      <c r="D250" t="inlineStr">
        <is>
          <t>ÖREBRO LÄN</t>
        </is>
      </c>
      <c r="E250" t="inlineStr">
        <is>
          <t>ÖREBRO</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71266-2021</t>
        </is>
      </c>
      <c r="B251" s="1" t="n">
        <v>44539</v>
      </c>
      <c r="C251" s="1" t="n">
        <v>46041</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71267-2021</t>
        </is>
      </c>
      <c r="B252" s="1" t="n">
        <v>44539</v>
      </c>
      <c r="C252" s="1" t="n">
        <v>46041</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71280-2021</t>
        </is>
      </c>
      <c r="B253" s="1" t="n">
        <v>44539</v>
      </c>
      <c r="C253" s="1" t="n">
        <v>46041</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59857-2025</t>
        </is>
      </c>
      <c r="B254" s="1" t="n">
        <v>45992.75820601852</v>
      </c>
      <c r="C254" s="1" t="n">
        <v>46041</v>
      </c>
      <c r="D254" t="inlineStr">
        <is>
          <t>ÖREBRO LÄN</t>
        </is>
      </c>
      <c r="E254" t="inlineStr">
        <is>
          <t>ÖREBRO</t>
        </is>
      </c>
      <c r="G254" t="n">
        <v>1.7</v>
      </c>
      <c r="H254" t="n">
        <v>0</v>
      </c>
      <c r="I254" t="n">
        <v>0</v>
      </c>
      <c r="J254" t="n">
        <v>0</v>
      </c>
      <c r="K254" t="n">
        <v>0</v>
      </c>
      <c r="L254" t="n">
        <v>0</v>
      </c>
      <c r="M254" t="n">
        <v>0</v>
      </c>
      <c r="N254" t="n">
        <v>0</v>
      </c>
      <c r="O254" t="n">
        <v>0</v>
      </c>
      <c r="P254" t="n">
        <v>0</v>
      </c>
      <c r="Q254" t="n">
        <v>0</v>
      </c>
      <c r="R254" s="2" t="inlineStr"/>
    </row>
    <row r="255" ht="15" customHeight="1">
      <c r="A255" t="inlineStr">
        <is>
          <t>A 59858-2025</t>
        </is>
      </c>
      <c r="B255" s="1" t="n">
        <v>45992.76758101852</v>
      </c>
      <c r="C255" s="1" t="n">
        <v>46041</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59859-2025</t>
        </is>
      </c>
      <c r="B256" s="1" t="n">
        <v>45992.7803125</v>
      </c>
      <c r="C256" s="1" t="n">
        <v>46041</v>
      </c>
      <c r="D256" t="inlineStr">
        <is>
          <t>ÖREBRO LÄN</t>
        </is>
      </c>
      <c r="E256" t="inlineStr">
        <is>
          <t>ÖREBRO</t>
        </is>
      </c>
      <c r="G256" t="n">
        <v>0.4</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46041</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59937-2025</t>
        </is>
      </c>
      <c r="B258" s="1" t="n">
        <v>45993.41934027777</v>
      </c>
      <c r="C258" s="1" t="n">
        <v>46041</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44960-2025</t>
        </is>
      </c>
      <c r="B259" s="1" t="n">
        <v>45918.61577546296</v>
      </c>
      <c r="C259" s="1" t="n">
        <v>46041</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22045-2024</t>
        </is>
      </c>
      <c r="B260" s="1" t="n">
        <v>45443.61171296296</v>
      </c>
      <c r="C260" s="1" t="n">
        <v>46041</v>
      </c>
      <c r="D260" t="inlineStr">
        <is>
          <t>ÖREBRO LÄN</t>
        </is>
      </c>
      <c r="E260" t="inlineStr">
        <is>
          <t>ÖREBRO</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59938-2025</t>
        </is>
      </c>
      <c r="B261" s="1" t="n">
        <v>45993.42108796296</v>
      </c>
      <c r="C261" s="1" t="n">
        <v>46041</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59860-2025</t>
        </is>
      </c>
      <c r="B262" s="1" t="n">
        <v>45992.78351851852</v>
      </c>
      <c r="C262" s="1" t="n">
        <v>46041</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58684-2023</t>
        </is>
      </c>
      <c r="B263" s="1" t="n">
        <v>45251</v>
      </c>
      <c r="C263" s="1" t="n">
        <v>46041</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2162-2026</t>
        </is>
      </c>
      <c r="B264" s="1" t="n">
        <v>46036.43479166667</v>
      </c>
      <c r="C264" s="1" t="n">
        <v>46041</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38898-2023</t>
        </is>
      </c>
      <c r="B265" s="1" t="n">
        <v>45163</v>
      </c>
      <c r="C265" s="1" t="n">
        <v>46041</v>
      </c>
      <c r="D265" t="inlineStr">
        <is>
          <t>ÖREBRO LÄN</t>
        </is>
      </c>
      <c r="E265" t="inlineStr">
        <is>
          <t>ÖREBRO</t>
        </is>
      </c>
      <c r="G265" t="n">
        <v>5.1</v>
      </c>
      <c r="H265" t="n">
        <v>0</v>
      </c>
      <c r="I265" t="n">
        <v>0</v>
      </c>
      <c r="J265" t="n">
        <v>0</v>
      </c>
      <c r="K265" t="n">
        <v>0</v>
      </c>
      <c r="L265" t="n">
        <v>0</v>
      </c>
      <c r="M265" t="n">
        <v>0</v>
      </c>
      <c r="N265" t="n">
        <v>0</v>
      </c>
      <c r="O265" t="n">
        <v>0</v>
      </c>
      <c r="P265" t="n">
        <v>0</v>
      </c>
      <c r="Q265" t="n">
        <v>0</v>
      </c>
      <c r="R265" s="2" t="inlineStr"/>
    </row>
    <row r="266" ht="15" customHeight="1">
      <c r="A266" t="inlineStr">
        <is>
          <t>A 3031-2026</t>
        </is>
      </c>
      <c r="B266" s="1" t="n">
        <v>46038.71271990741</v>
      </c>
      <c r="C266" s="1" t="n">
        <v>46041</v>
      </c>
      <c r="D266" t="inlineStr">
        <is>
          <t>ÖREBRO LÄN</t>
        </is>
      </c>
      <c r="E266" t="inlineStr">
        <is>
          <t>ÖREBRO</t>
        </is>
      </c>
      <c r="F266" t="inlineStr">
        <is>
          <t>Övriga Aktiebolag</t>
        </is>
      </c>
      <c r="G266" t="n">
        <v>1.4</v>
      </c>
      <c r="H266" t="n">
        <v>0</v>
      </c>
      <c r="I266" t="n">
        <v>0</v>
      </c>
      <c r="J266" t="n">
        <v>0</v>
      </c>
      <c r="K266" t="n">
        <v>0</v>
      </c>
      <c r="L266" t="n">
        <v>0</v>
      </c>
      <c r="M266" t="n">
        <v>0</v>
      </c>
      <c r="N266" t="n">
        <v>0</v>
      </c>
      <c r="O266" t="n">
        <v>0</v>
      </c>
      <c r="P266" t="n">
        <v>0</v>
      </c>
      <c r="Q266" t="n">
        <v>0</v>
      </c>
      <c r="R266" s="2" t="inlineStr"/>
    </row>
    <row r="267" ht="15" customHeight="1">
      <c r="A267" t="inlineStr">
        <is>
          <t>A 3033-2026</t>
        </is>
      </c>
      <c r="B267" s="1" t="n">
        <v>46038.71920138889</v>
      </c>
      <c r="C267" s="1" t="n">
        <v>46041</v>
      </c>
      <c r="D267" t="inlineStr">
        <is>
          <t>ÖREBRO LÄN</t>
        </is>
      </c>
      <c r="E267" t="inlineStr">
        <is>
          <t>ÖREBRO</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60717-2025</t>
        </is>
      </c>
      <c r="B268" s="1" t="n">
        <v>45996.63673611111</v>
      </c>
      <c r="C268" s="1" t="n">
        <v>46041</v>
      </c>
      <c r="D268" t="inlineStr">
        <is>
          <t>ÖREBRO LÄN</t>
        </is>
      </c>
      <c r="E268" t="inlineStr">
        <is>
          <t>ÖREBRO</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60718-2025</t>
        </is>
      </c>
      <c r="B269" s="1" t="n">
        <v>45996.6384375</v>
      </c>
      <c r="C269" s="1" t="n">
        <v>46041</v>
      </c>
      <c r="D269" t="inlineStr">
        <is>
          <t>ÖREBRO LÄN</t>
        </is>
      </c>
      <c r="E269" t="inlineStr">
        <is>
          <t>ÖREBRO</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60721-2025</t>
        </is>
      </c>
      <c r="B270" s="1" t="n">
        <v>45996</v>
      </c>
      <c r="C270" s="1" t="n">
        <v>46041</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13321-2024</t>
        </is>
      </c>
      <c r="B271" s="1" t="n">
        <v>45386.83142361111</v>
      </c>
      <c r="C271" s="1" t="n">
        <v>46041</v>
      </c>
      <c r="D271" t="inlineStr">
        <is>
          <t>ÖREBRO LÄN</t>
        </is>
      </c>
      <c r="E271" t="inlineStr">
        <is>
          <t>ÖREBRO</t>
        </is>
      </c>
      <c r="G271" t="n">
        <v>13.1</v>
      </c>
      <c r="H271" t="n">
        <v>0</v>
      </c>
      <c r="I271" t="n">
        <v>0</v>
      </c>
      <c r="J271" t="n">
        <v>0</v>
      </c>
      <c r="K271" t="n">
        <v>0</v>
      </c>
      <c r="L271" t="n">
        <v>0</v>
      </c>
      <c r="M271" t="n">
        <v>0</v>
      </c>
      <c r="N271" t="n">
        <v>0</v>
      </c>
      <c r="O271" t="n">
        <v>0</v>
      </c>
      <c r="P271" t="n">
        <v>0</v>
      </c>
      <c r="Q271" t="n">
        <v>0</v>
      </c>
      <c r="R271" s="2" t="inlineStr"/>
    </row>
    <row r="272" ht="15" customHeight="1">
      <c r="A272" t="inlineStr">
        <is>
          <t>A 38583-2023</t>
        </is>
      </c>
      <c r="B272" s="1" t="n">
        <v>45162.62861111111</v>
      </c>
      <c r="C272" s="1" t="n">
        <v>46041</v>
      </c>
      <c r="D272" t="inlineStr">
        <is>
          <t>ÖREBRO LÄN</t>
        </is>
      </c>
      <c r="E272" t="inlineStr">
        <is>
          <t>ÖREBRO</t>
        </is>
      </c>
      <c r="G272" t="n">
        <v>5.7</v>
      </c>
      <c r="H272" t="n">
        <v>0</v>
      </c>
      <c r="I272" t="n">
        <v>0</v>
      </c>
      <c r="J272" t="n">
        <v>0</v>
      </c>
      <c r="K272" t="n">
        <v>0</v>
      </c>
      <c r="L272" t="n">
        <v>0</v>
      </c>
      <c r="M272" t="n">
        <v>0</v>
      </c>
      <c r="N272" t="n">
        <v>0</v>
      </c>
      <c r="O272" t="n">
        <v>0</v>
      </c>
      <c r="P272" t="n">
        <v>0</v>
      </c>
      <c r="Q272" t="n">
        <v>0</v>
      </c>
      <c r="R272" s="2" t="inlineStr"/>
    </row>
    <row r="273" ht="15" customHeight="1">
      <c r="A273" t="inlineStr">
        <is>
          <t>A 14291-2023</t>
        </is>
      </c>
      <c r="B273" s="1" t="n">
        <v>45010</v>
      </c>
      <c r="C273" s="1" t="n">
        <v>46041</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3042-2026</t>
        </is>
      </c>
      <c r="B274" s="1" t="n">
        <v>46038.73467592592</v>
      </c>
      <c r="C274" s="1" t="n">
        <v>46041</v>
      </c>
      <c r="D274" t="inlineStr">
        <is>
          <t>ÖREBRO LÄN</t>
        </is>
      </c>
      <c r="E274" t="inlineStr">
        <is>
          <t>ÖREBRO</t>
        </is>
      </c>
      <c r="F274" t="inlineStr">
        <is>
          <t>Övriga Aktiebolag</t>
        </is>
      </c>
      <c r="G274" t="n">
        <v>1</v>
      </c>
      <c r="H274" t="n">
        <v>0</v>
      </c>
      <c r="I274" t="n">
        <v>0</v>
      </c>
      <c r="J274" t="n">
        <v>0</v>
      </c>
      <c r="K274" t="n">
        <v>0</v>
      </c>
      <c r="L274" t="n">
        <v>0</v>
      </c>
      <c r="M274" t="n">
        <v>0</v>
      </c>
      <c r="N274" t="n">
        <v>0</v>
      </c>
      <c r="O274" t="n">
        <v>0</v>
      </c>
      <c r="P274" t="n">
        <v>0</v>
      </c>
      <c r="Q274" t="n">
        <v>0</v>
      </c>
      <c r="R274" s="2" t="inlineStr"/>
    </row>
    <row r="275" ht="15" customHeight="1">
      <c r="A275" t="inlineStr">
        <is>
          <t>A 60466-2025</t>
        </is>
      </c>
      <c r="B275" s="1" t="n">
        <v>45995.55927083334</v>
      </c>
      <c r="C275" s="1" t="n">
        <v>46041</v>
      </c>
      <c r="D275" t="inlineStr">
        <is>
          <t>ÖREBRO LÄN</t>
        </is>
      </c>
      <c r="E275" t="inlineStr">
        <is>
          <t>ÖREBRO</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60555-2025</t>
        </is>
      </c>
      <c r="B276" s="1" t="n">
        <v>45995.73722222223</v>
      </c>
      <c r="C276" s="1" t="n">
        <v>46041</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9314-2023</t>
        </is>
      </c>
      <c r="B277" s="1" t="n">
        <v>44980.67747685185</v>
      </c>
      <c r="C277" s="1" t="n">
        <v>46041</v>
      </c>
      <c r="D277" t="inlineStr">
        <is>
          <t>ÖREBRO LÄN</t>
        </is>
      </c>
      <c r="E277" t="inlineStr">
        <is>
          <t>ÖREBRO</t>
        </is>
      </c>
      <c r="G277" t="n">
        <v>0.8</v>
      </c>
      <c r="H277" t="n">
        <v>0</v>
      </c>
      <c r="I277" t="n">
        <v>0</v>
      </c>
      <c r="J277" t="n">
        <v>0</v>
      </c>
      <c r="K277" t="n">
        <v>0</v>
      </c>
      <c r="L277" t="n">
        <v>0</v>
      </c>
      <c r="M277" t="n">
        <v>0</v>
      </c>
      <c r="N277" t="n">
        <v>0</v>
      </c>
      <c r="O277" t="n">
        <v>0</v>
      </c>
      <c r="P277" t="n">
        <v>0</v>
      </c>
      <c r="Q277" t="n">
        <v>0</v>
      </c>
      <c r="R277" s="2" t="inlineStr"/>
    </row>
    <row r="278" ht="15" customHeight="1">
      <c r="A278" t="inlineStr">
        <is>
          <t>A 33455-2023</t>
        </is>
      </c>
      <c r="B278" s="1" t="n">
        <v>45130.98962962963</v>
      </c>
      <c r="C278" s="1" t="n">
        <v>46041</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21306-2024</t>
        </is>
      </c>
      <c r="B279" s="1" t="n">
        <v>45440.67883101852</v>
      </c>
      <c r="C279" s="1" t="n">
        <v>46041</v>
      </c>
      <c r="D279" t="inlineStr">
        <is>
          <t>ÖREBRO LÄN</t>
        </is>
      </c>
      <c r="E279" t="inlineStr">
        <is>
          <t>ÖREBRO</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60551-2025</t>
        </is>
      </c>
      <c r="B280" s="1" t="n">
        <v>45995</v>
      </c>
      <c r="C280" s="1" t="n">
        <v>46041</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46041</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7634-2024</t>
        </is>
      </c>
      <c r="B282" s="1" t="n">
        <v>45348</v>
      </c>
      <c r="C282" s="1" t="n">
        <v>46041</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5324-2024</t>
        </is>
      </c>
      <c r="B283" s="1" t="n">
        <v>45331</v>
      </c>
      <c r="C283" s="1" t="n">
        <v>46041</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45609.44553240741</v>
      </c>
      <c r="C284" s="1" t="n">
        <v>46041</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60720-2025</t>
        </is>
      </c>
      <c r="B285" s="1" t="n">
        <v>45996.64050925926</v>
      </c>
      <c r="C285" s="1" t="n">
        <v>46041</v>
      </c>
      <c r="D285" t="inlineStr">
        <is>
          <t>ÖREBRO LÄN</t>
        </is>
      </c>
      <c r="E285" t="inlineStr">
        <is>
          <t>ÖREBRO</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14963-2025</t>
        </is>
      </c>
      <c r="B286" s="1" t="n">
        <v>45743.58699074074</v>
      </c>
      <c r="C286" s="1" t="n">
        <v>46041</v>
      </c>
      <c r="D286" t="inlineStr">
        <is>
          <t>ÖREBRO LÄN</t>
        </is>
      </c>
      <c r="E286" t="inlineStr">
        <is>
          <t>ÖREBRO</t>
        </is>
      </c>
      <c r="G286" t="n">
        <v>9.1</v>
      </c>
      <c r="H286" t="n">
        <v>0</v>
      </c>
      <c r="I286" t="n">
        <v>0</v>
      </c>
      <c r="J286" t="n">
        <v>0</v>
      </c>
      <c r="K286" t="n">
        <v>0</v>
      </c>
      <c r="L286" t="n">
        <v>0</v>
      </c>
      <c r="M286" t="n">
        <v>0</v>
      </c>
      <c r="N286" t="n">
        <v>0</v>
      </c>
      <c r="O286" t="n">
        <v>0</v>
      </c>
      <c r="P286" t="n">
        <v>0</v>
      </c>
      <c r="Q286" t="n">
        <v>0</v>
      </c>
      <c r="R286" s="2" t="inlineStr"/>
    </row>
    <row r="287" ht="15" customHeight="1">
      <c r="A287" t="inlineStr">
        <is>
          <t>A 2970-2026</t>
        </is>
      </c>
      <c r="B287" s="1" t="n">
        <v>46038.6202662037</v>
      </c>
      <c r="C287" s="1" t="n">
        <v>46041</v>
      </c>
      <c r="D287" t="inlineStr">
        <is>
          <t>ÖREBRO LÄN</t>
        </is>
      </c>
      <c r="E287" t="inlineStr">
        <is>
          <t>ÖREBRO</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55357-2024</t>
        </is>
      </c>
      <c r="B288" s="1" t="n">
        <v>45621.81126157408</v>
      </c>
      <c r="C288" s="1" t="n">
        <v>46041</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38422-2023</t>
        </is>
      </c>
      <c r="B289" s="1" t="n">
        <v>45162.36422453704</v>
      </c>
      <c r="C289" s="1" t="n">
        <v>46041</v>
      </c>
      <c r="D289" t="inlineStr">
        <is>
          <t>ÖREBRO LÄN</t>
        </is>
      </c>
      <c r="E289" t="inlineStr">
        <is>
          <t>ÖREBRO</t>
        </is>
      </c>
      <c r="G289" t="n">
        <v>8</v>
      </c>
      <c r="H289" t="n">
        <v>0</v>
      </c>
      <c r="I289" t="n">
        <v>0</v>
      </c>
      <c r="J289" t="n">
        <v>0</v>
      </c>
      <c r="K289" t="n">
        <v>0</v>
      </c>
      <c r="L289" t="n">
        <v>0</v>
      </c>
      <c r="M289" t="n">
        <v>0</v>
      </c>
      <c r="N289" t="n">
        <v>0</v>
      </c>
      <c r="O289" t="n">
        <v>0</v>
      </c>
      <c r="P289" t="n">
        <v>0</v>
      </c>
      <c r="Q289" t="n">
        <v>0</v>
      </c>
      <c r="R289" s="2" t="inlineStr"/>
    </row>
    <row r="290" ht="15" customHeight="1">
      <c r="A290" t="inlineStr">
        <is>
          <t>A 46518-2023</t>
        </is>
      </c>
      <c r="B290" s="1" t="n">
        <v>45197.72777777778</v>
      </c>
      <c r="C290" s="1" t="n">
        <v>46041</v>
      </c>
      <c r="D290" t="inlineStr">
        <is>
          <t>ÖREBRO LÄN</t>
        </is>
      </c>
      <c r="E290" t="inlineStr">
        <is>
          <t>ÖREBRO</t>
        </is>
      </c>
      <c r="G290" t="n">
        <v>2.2</v>
      </c>
      <c r="H290" t="n">
        <v>0</v>
      </c>
      <c r="I290" t="n">
        <v>0</v>
      </c>
      <c r="J290" t="n">
        <v>0</v>
      </c>
      <c r="K290" t="n">
        <v>0</v>
      </c>
      <c r="L290" t="n">
        <v>0</v>
      </c>
      <c r="M290" t="n">
        <v>0</v>
      </c>
      <c r="N290" t="n">
        <v>0</v>
      </c>
      <c r="O290" t="n">
        <v>0</v>
      </c>
      <c r="P290" t="n">
        <v>0</v>
      </c>
      <c r="Q290" t="n">
        <v>0</v>
      </c>
      <c r="R290" s="2" t="inlineStr"/>
    </row>
    <row r="291" ht="15" customHeight="1">
      <c r="A291" t="inlineStr">
        <is>
          <t>A 11663-2024</t>
        </is>
      </c>
      <c r="B291" s="1" t="n">
        <v>45373</v>
      </c>
      <c r="C291" s="1" t="n">
        <v>46041</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48454-2025</t>
        </is>
      </c>
      <c r="B292" s="1" t="n">
        <v>45935.80164351852</v>
      </c>
      <c r="C292" s="1" t="n">
        <v>46041</v>
      </c>
      <c r="D292" t="inlineStr">
        <is>
          <t>ÖREBRO LÄN</t>
        </is>
      </c>
      <c r="E292" t="inlineStr">
        <is>
          <t>ÖREBRO</t>
        </is>
      </c>
      <c r="F292" t="inlineStr">
        <is>
          <t>Övriga Aktiebolag</t>
        </is>
      </c>
      <c r="G292" t="n">
        <v>18.1</v>
      </c>
      <c r="H292" t="n">
        <v>0</v>
      </c>
      <c r="I292" t="n">
        <v>0</v>
      </c>
      <c r="J292" t="n">
        <v>0</v>
      </c>
      <c r="K292" t="n">
        <v>0</v>
      </c>
      <c r="L292" t="n">
        <v>0</v>
      </c>
      <c r="M292" t="n">
        <v>0</v>
      </c>
      <c r="N292" t="n">
        <v>0</v>
      </c>
      <c r="O292" t="n">
        <v>0</v>
      </c>
      <c r="P292" t="n">
        <v>0</v>
      </c>
      <c r="Q292" t="n">
        <v>0</v>
      </c>
      <c r="R292" s="2" t="inlineStr"/>
    </row>
    <row r="293" ht="15" customHeight="1">
      <c r="A293" t="inlineStr">
        <is>
          <t>A 41703-2024</t>
        </is>
      </c>
      <c r="B293" s="1" t="n">
        <v>45560</v>
      </c>
      <c r="C293" s="1" t="n">
        <v>46041</v>
      </c>
      <c r="D293" t="inlineStr">
        <is>
          <t>ÖREBRO LÄN</t>
        </is>
      </c>
      <c r="E293" t="inlineStr">
        <is>
          <t>ÖREBRO</t>
        </is>
      </c>
      <c r="G293" t="n">
        <v>6.4</v>
      </c>
      <c r="H293" t="n">
        <v>0</v>
      </c>
      <c r="I293" t="n">
        <v>0</v>
      </c>
      <c r="J293" t="n">
        <v>0</v>
      </c>
      <c r="K293" t="n">
        <v>0</v>
      </c>
      <c r="L293" t="n">
        <v>0</v>
      </c>
      <c r="M293" t="n">
        <v>0</v>
      </c>
      <c r="N293" t="n">
        <v>0</v>
      </c>
      <c r="O293" t="n">
        <v>0</v>
      </c>
      <c r="P293" t="n">
        <v>0</v>
      </c>
      <c r="Q293" t="n">
        <v>0</v>
      </c>
      <c r="R293" s="2" t="inlineStr"/>
    </row>
    <row r="294" ht="15" customHeight="1">
      <c r="A294" t="inlineStr">
        <is>
          <t>A 19763-2024</t>
        </is>
      </c>
      <c r="B294" s="1" t="n">
        <v>45432</v>
      </c>
      <c r="C294" s="1" t="n">
        <v>46041</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31247-2023</t>
        </is>
      </c>
      <c r="B295" s="1" t="n">
        <v>45114</v>
      </c>
      <c r="C295" s="1" t="n">
        <v>46041</v>
      </c>
      <c r="D295" t="inlineStr">
        <is>
          <t>ÖREBRO LÄN</t>
        </is>
      </c>
      <c r="E295" t="inlineStr">
        <is>
          <t>ÖREBRO</t>
        </is>
      </c>
      <c r="F295" t="inlineStr">
        <is>
          <t>Allmännings- och besparingsskogar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36635-2023</t>
        </is>
      </c>
      <c r="B296" s="1" t="n">
        <v>45153</v>
      </c>
      <c r="C296" s="1" t="n">
        <v>46041</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48581-2024</t>
        </is>
      </c>
      <c r="B297" s="1" t="n">
        <v>45593.41642361111</v>
      </c>
      <c r="C297" s="1" t="n">
        <v>46041</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54149-2024</t>
        </is>
      </c>
      <c r="B298" s="1" t="n">
        <v>45616</v>
      </c>
      <c r="C298" s="1" t="n">
        <v>46041</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49797-2024</t>
        </is>
      </c>
      <c r="B299" s="1" t="n">
        <v>45597.37265046296</v>
      </c>
      <c r="C299" s="1" t="n">
        <v>46041</v>
      </c>
      <c r="D299" t="inlineStr">
        <is>
          <t>ÖREBRO LÄN</t>
        </is>
      </c>
      <c r="E299" t="inlineStr">
        <is>
          <t>ÖREBRO</t>
        </is>
      </c>
      <c r="G299" t="n">
        <v>11.6</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46041</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32086-2023</t>
        </is>
      </c>
      <c r="B301" s="1" t="n">
        <v>45119.59789351852</v>
      </c>
      <c r="C301" s="1" t="n">
        <v>46041</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13856-2022</t>
        </is>
      </c>
      <c r="B302" s="1" t="n">
        <v>44649.6965162037</v>
      </c>
      <c r="C302" s="1" t="n">
        <v>46041</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23863-2023</t>
        </is>
      </c>
      <c r="B303" s="1" t="n">
        <v>45078.48994212963</v>
      </c>
      <c r="C303" s="1" t="n">
        <v>46041</v>
      </c>
      <c r="D303" t="inlineStr">
        <is>
          <t>ÖREBRO LÄN</t>
        </is>
      </c>
      <c r="E303" t="inlineStr">
        <is>
          <t>ÖREBRO</t>
        </is>
      </c>
      <c r="F303" t="inlineStr">
        <is>
          <t>Övriga Aktiebolag</t>
        </is>
      </c>
      <c r="G303" t="n">
        <v>5.9</v>
      </c>
      <c r="H303" t="n">
        <v>0</v>
      </c>
      <c r="I303" t="n">
        <v>0</v>
      </c>
      <c r="J303" t="n">
        <v>0</v>
      </c>
      <c r="K303" t="n">
        <v>0</v>
      </c>
      <c r="L303" t="n">
        <v>0</v>
      </c>
      <c r="M303" t="n">
        <v>0</v>
      </c>
      <c r="N303" t="n">
        <v>0</v>
      </c>
      <c r="O303" t="n">
        <v>0</v>
      </c>
      <c r="P303" t="n">
        <v>0</v>
      </c>
      <c r="Q303" t="n">
        <v>0</v>
      </c>
      <c r="R303" s="2" t="inlineStr"/>
    </row>
    <row r="304" ht="15" customHeight="1">
      <c r="A304" t="inlineStr">
        <is>
          <t>A 39130-2023</t>
        </is>
      </c>
      <c r="B304" s="1" t="n">
        <v>45165</v>
      </c>
      <c r="C304" s="1" t="n">
        <v>46041</v>
      </c>
      <c r="D304" t="inlineStr">
        <is>
          <t>ÖREBRO LÄN</t>
        </is>
      </c>
      <c r="E304" t="inlineStr">
        <is>
          <t>ÖREBRO</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13599-2025</t>
        </is>
      </c>
      <c r="B305" s="1" t="n">
        <v>45736.60597222222</v>
      </c>
      <c r="C305" s="1" t="n">
        <v>46041</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21036-2024</t>
        </is>
      </c>
      <c r="B306" s="1" t="n">
        <v>45439.65954861111</v>
      </c>
      <c r="C306" s="1" t="n">
        <v>46041</v>
      </c>
      <c r="D306" t="inlineStr">
        <is>
          <t>ÖREBRO LÄN</t>
        </is>
      </c>
      <c r="E306" t="inlineStr">
        <is>
          <t>ÖREBRO</t>
        </is>
      </c>
      <c r="F306" t="inlineStr">
        <is>
          <t>Övriga Aktiebolag</t>
        </is>
      </c>
      <c r="G306" t="n">
        <v>5.7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46041</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50375-2024</t>
        </is>
      </c>
      <c r="B308" s="1" t="n">
        <v>45601.29311342593</v>
      </c>
      <c r="C308" s="1" t="n">
        <v>46041</v>
      </c>
      <c r="D308" t="inlineStr">
        <is>
          <t>ÖREBRO LÄN</t>
        </is>
      </c>
      <c r="E308" t="inlineStr">
        <is>
          <t>ÖREBRO</t>
        </is>
      </c>
      <c r="G308" t="n">
        <v>5</v>
      </c>
      <c r="H308" t="n">
        <v>0</v>
      </c>
      <c r="I308" t="n">
        <v>0</v>
      </c>
      <c r="J308" t="n">
        <v>0</v>
      </c>
      <c r="K308" t="n">
        <v>0</v>
      </c>
      <c r="L308" t="n">
        <v>0</v>
      </c>
      <c r="M308" t="n">
        <v>0</v>
      </c>
      <c r="N308" t="n">
        <v>0</v>
      </c>
      <c r="O308" t="n">
        <v>0</v>
      </c>
      <c r="P308" t="n">
        <v>0</v>
      </c>
      <c r="Q308" t="n">
        <v>0</v>
      </c>
      <c r="R308" s="2" t="inlineStr"/>
    </row>
    <row r="309" ht="15" customHeight="1">
      <c r="A309" t="inlineStr">
        <is>
          <t>A 52391-2024</t>
        </is>
      </c>
      <c r="B309" s="1" t="n">
        <v>45609.43180555556</v>
      </c>
      <c r="C309" s="1" t="n">
        <v>46041</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51249-2025</t>
        </is>
      </c>
      <c r="B310" s="1" t="n">
        <v>45948.45704861111</v>
      </c>
      <c r="C310" s="1" t="n">
        <v>46041</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51248-2025</t>
        </is>
      </c>
      <c r="B311" s="1" t="n">
        <v>45948.450625</v>
      </c>
      <c r="C311" s="1" t="n">
        <v>46041</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58532-2024</t>
        </is>
      </c>
      <c r="B312" s="1" t="n">
        <v>45635.44899305556</v>
      </c>
      <c r="C312" s="1" t="n">
        <v>46041</v>
      </c>
      <c r="D312" t="inlineStr">
        <is>
          <t>ÖREBRO LÄN</t>
        </is>
      </c>
      <c r="E312" t="inlineStr">
        <is>
          <t>ÖREBRO</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20150-2024</t>
        </is>
      </c>
      <c r="B313" s="1" t="n">
        <v>45434.57969907407</v>
      </c>
      <c r="C313" s="1" t="n">
        <v>46041</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58208-2024</t>
        </is>
      </c>
      <c r="B314" s="1" t="n">
        <v>45632</v>
      </c>
      <c r="C314" s="1" t="n">
        <v>46041</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51925-2025</t>
        </is>
      </c>
      <c r="B315" s="1" t="n">
        <v>45952.49476851852</v>
      </c>
      <c r="C315" s="1" t="n">
        <v>46041</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19388-2024</t>
        </is>
      </c>
      <c r="B316" s="1" t="n">
        <v>45429.37775462963</v>
      </c>
      <c r="C316" s="1" t="n">
        <v>46041</v>
      </c>
      <c r="D316" t="inlineStr">
        <is>
          <t>ÖREBRO LÄN</t>
        </is>
      </c>
      <c r="E316" t="inlineStr">
        <is>
          <t>ÖREBRO</t>
        </is>
      </c>
      <c r="G316" t="n">
        <v>4.3</v>
      </c>
      <c r="H316" t="n">
        <v>0</v>
      </c>
      <c r="I316" t="n">
        <v>0</v>
      </c>
      <c r="J316" t="n">
        <v>0</v>
      </c>
      <c r="K316" t="n">
        <v>0</v>
      </c>
      <c r="L316" t="n">
        <v>0</v>
      </c>
      <c r="M316" t="n">
        <v>0</v>
      </c>
      <c r="N316" t="n">
        <v>0</v>
      </c>
      <c r="O316" t="n">
        <v>0</v>
      </c>
      <c r="P316" t="n">
        <v>0</v>
      </c>
      <c r="Q316" t="n">
        <v>0</v>
      </c>
      <c r="R316" s="2" t="inlineStr"/>
    </row>
    <row r="317" ht="15" customHeight="1">
      <c r="A317" t="inlineStr">
        <is>
          <t>A 51923-2025</t>
        </is>
      </c>
      <c r="B317" s="1" t="n">
        <v>45952.49300925926</v>
      </c>
      <c r="C317" s="1" t="n">
        <v>46041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51937-2025</t>
        </is>
      </c>
      <c r="B318" s="1" t="n">
        <v>45952.51270833334</v>
      </c>
      <c r="C318" s="1" t="n">
        <v>46041</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7506-2025</t>
        </is>
      </c>
      <c r="B319" s="1" t="n">
        <v>45705</v>
      </c>
      <c r="C319" s="1" t="n">
        <v>46041</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4344-2025</t>
        </is>
      </c>
      <c r="B320" s="1" t="n">
        <v>45685</v>
      </c>
      <c r="C320" s="1" t="n">
        <v>46041</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52135-2025</t>
        </is>
      </c>
      <c r="B321" s="1" t="n">
        <v>45952.84231481481</v>
      </c>
      <c r="C321" s="1" t="n">
        <v>46041</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16300-2022</t>
        </is>
      </c>
      <c r="B322" s="1" t="n">
        <v>44670</v>
      </c>
      <c r="C322" s="1" t="n">
        <v>46041</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16958-2022</t>
        </is>
      </c>
      <c r="B323" s="1" t="n">
        <v>44676.50481481481</v>
      </c>
      <c r="C323" s="1" t="n">
        <v>46041</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55472-2023</t>
        </is>
      </c>
      <c r="B324" s="1" t="n">
        <v>45238</v>
      </c>
      <c r="C324" s="1" t="n">
        <v>46041</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16739-2023</t>
        </is>
      </c>
      <c r="B325" s="1" t="n">
        <v>45030.72627314815</v>
      </c>
      <c r="C325" s="1" t="n">
        <v>46041</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30743-2025</t>
        </is>
      </c>
      <c r="B326" s="1" t="n">
        <v>45831</v>
      </c>
      <c r="C326" s="1" t="n">
        <v>46041</v>
      </c>
      <c r="D326" t="inlineStr">
        <is>
          <t>ÖREBRO LÄN</t>
        </is>
      </c>
      <c r="E326" t="inlineStr">
        <is>
          <t>ÖREBRO</t>
        </is>
      </c>
      <c r="G326" t="n">
        <v>2.9</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46041</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8568-2021</t>
        </is>
      </c>
      <c r="B328" s="1" t="n">
        <v>44245</v>
      </c>
      <c r="C328" s="1" t="n">
        <v>46041</v>
      </c>
      <c r="D328" t="inlineStr">
        <is>
          <t>ÖREBRO LÄN</t>
        </is>
      </c>
      <c r="E328" t="inlineStr">
        <is>
          <t>ÖREBRO</t>
        </is>
      </c>
      <c r="G328" t="n">
        <v>4.8</v>
      </c>
      <c r="H328" t="n">
        <v>0</v>
      </c>
      <c r="I328" t="n">
        <v>0</v>
      </c>
      <c r="J328" t="n">
        <v>0</v>
      </c>
      <c r="K328" t="n">
        <v>0</v>
      </c>
      <c r="L328" t="n">
        <v>0</v>
      </c>
      <c r="M328" t="n">
        <v>0</v>
      </c>
      <c r="N328" t="n">
        <v>0</v>
      </c>
      <c r="O328" t="n">
        <v>0</v>
      </c>
      <c r="P328" t="n">
        <v>0</v>
      </c>
      <c r="Q328" t="n">
        <v>0</v>
      </c>
      <c r="R328" s="2" t="inlineStr"/>
    </row>
    <row r="329" ht="15" customHeight="1">
      <c r="A329" t="inlineStr">
        <is>
          <t>A 60840-2025</t>
        </is>
      </c>
      <c r="B329" s="1" t="n">
        <v>45999.48547453704</v>
      </c>
      <c r="C329" s="1" t="n">
        <v>46041</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16961-2022</t>
        </is>
      </c>
      <c r="B330" s="1" t="n">
        <v>44676</v>
      </c>
      <c r="C330" s="1" t="n">
        <v>46041</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46041</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52382-2025</t>
        </is>
      </c>
      <c r="B332" s="1" t="n">
        <v>45953.9559837963</v>
      </c>
      <c r="C332" s="1" t="n">
        <v>46041</v>
      </c>
      <c r="D332" t="inlineStr">
        <is>
          <t>ÖREBRO LÄN</t>
        </is>
      </c>
      <c r="E332" t="inlineStr">
        <is>
          <t>ÖREBRO</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15424-2022</t>
        </is>
      </c>
      <c r="B333" s="1" t="n">
        <v>44659</v>
      </c>
      <c r="C333" s="1" t="n">
        <v>46041</v>
      </c>
      <c r="D333" t="inlineStr">
        <is>
          <t>ÖREBRO LÄN</t>
        </is>
      </c>
      <c r="E333" t="inlineStr">
        <is>
          <t>ÖREBRO</t>
        </is>
      </c>
      <c r="G333" t="n">
        <v>2.2</v>
      </c>
      <c r="H333" t="n">
        <v>0</v>
      </c>
      <c r="I333" t="n">
        <v>0</v>
      </c>
      <c r="J333" t="n">
        <v>0</v>
      </c>
      <c r="K333" t="n">
        <v>0</v>
      </c>
      <c r="L333" t="n">
        <v>0</v>
      </c>
      <c r="M333" t="n">
        <v>0</v>
      </c>
      <c r="N333" t="n">
        <v>0</v>
      </c>
      <c r="O333" t="n">
        <v>0</v>
      </c>
      <c r="P333" t="n">
        <v>0</v>
      </c>
      <c r="Q333" t="n">
        <v>0</v>
      </c>
      <c r="R333" s="2" t="inlineStr"/>
    </row>
    <row r="334" ht="15" customHeight="1">
      <c r="A334" t="inlineStr">
        <is>
          <t>A 53350-2025</t>
        </is>
      </c>
      <c r="B334" s="1" t="n">
        <v>45959.43827546296</v>
      </c>
      <c r="C334" s="1" t="n">
        <v>46041</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12017-2024</t>
        </is>
      </c>
      <c r="B335" s="1" t="n">
        <v>45377</v>
      </c>
      <c r="C335" s="1" t="n">
        <v>46041</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13700-2024</t>
        </is>
      </c>
      <c r="B336" s="1" t="n">
        <v>45390.59277777778</v>
      </c>
      <c r="C336" s="1" t="n">
        <v>46041</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56077-2022</t>
        </is>
      </c>
      <c r="B337" s="1" t="n">
        <v>44889.60872685185</v>
      </c>
      <c r="C337" s="1" t="n">
        <v>46041</v>
      </c>
      <c r="D337" t="inlineStr">
        <is>
          <t>ÖREBRO LÄN</t>
        </is>
      </c>
      <c r="E337" t="inlineStr">
        <is>
          <t>ÖREBRO</t>
        </is>
      </c>
      <c r="F337" t="inlineStr">
        <is>
          <t>Övriga Aktiebolag</t>
        </is>
      </c>
      <c r="G337" t="n">
        <v>2.5</v>
      </c>
      <c r="H337" t="n">
        <v>0</v>
      </c>
      <c r="I337" t="n">
        <v>0</v>
      </c>
      <c r="J337" t="n">
        <v>0</v>
      </c>
      <c r="K337" t="n">
        <v>0</v>
      </c>
      <c r="L337" t="n">
        <v>0</v>
      </c>
      <c r="M337" t="n">
        <v>0</v>
      </c>
      <c r="N337" t="n">
        <v>0</v>
      </c>
      <c r="O337" t="n">
        <v>0</v>
      </c>
      <c r="P337" t="n">
        <v>0</v>
      </c>
      <c r="Q337" t="n">
        <v>0</v>
      </c>
      <c r="R337" s="2" t="inlineStr"/>
    </row>
    <row r="338" ht="15" customHeight="1">
      <c r="A338" t="inlineStr">
        <is>
          <t>A 9609-2023</t>
        </is>
      </c>
      <c r="B338" s="1" t="n">
        <v>44983.93344907407</v>
      </c>
      <c r="C338" s="1" t="n">
        <v>46041</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70707-2021</t>
        </is>
      </c>
      <c r="B339" s="1" t="n">
        <v>44537</v>
      </c>
      <c r="C339" s="1" t="n">
        <v>46041</v>
      </c>
      <c r="D339" t="inlineStr">
        <is>
          <t>ÖREBRO LÄN</t>
        </is>
      </c>
      <c r="E339" t="inlineStr">
        <is>
          <t>ÖREBRO</t>
        </is>
      </c>
      <c r="G339" t="n">
        <v>13.2</v>
      </c>
      <c r="H339" t="n">
        <v>0</v>
      </c>
      <c r="I339" t="n">
        <v>0</v>
      </c>
      <c r="J339" t="n">
        <v>0</v>
      </c>
      <c r="K339" t="n">
        <v>0</v>
      </c>
      <c r="L339" t="n">
        <v>0</v>
      </c>
      <c r="M339" t="n">
        <v>0</v>
      </c>
      <c r="N339" t="n">
        <v>0</v>
      </c>
      <c r="O339" t="n">
        <v>0</v>
      </c>
      <c r="P339" t="n">
        <v>0</v>
      </c>
      <c r="Q339" t="n">
        <v>0</v>
      </c>
      <c r="R339" s="2" t="inlineStr"/>
    </row>
    <row r="340" ht="15" customHeight="1">
      <c r="A340" t="inlineStr">
        <is>
          <t>A 3659-2025</t>
        </is>
      </c>
      <c r="B340" s="1" t="n">
        <v>45681</v>
      </c>
      <c r="C340" s="1" t="n">
        <v>46041</v>
      </c>
      <c r="D340" t="inlineStr">
        <is>
          <t>ÖREBRO LÄN</t>
        </is>
      </c>
      <c r="E340" t="inlineStr">
        <is>
          <t>ÖREBRO</t>
        </is>
      </c>
      <c r="G340" t="n">
        <v>15.8</v>
      </c>
      <c r="H340" t="n">
        <v>0</v>
      </c>
      <c r="I340" t="n">
        <v>0</v>
      </c>
      <c r="J340" t="n">
        <v>0</v>
      </c>
      <c r="K340" t="n">
        <v>0</v>
      </c>
      <c r="L340" t="n">
        <v>0</v>
      </c>
      <c r="M340" t="n">
        <v>0</v>
      </c>
      <c r="N340" t="n">
        <v>0</v>
      </c>
      <c r="O340" t="n">
        <v>0</v>
      </c>
      <c r="P340" t="n">
        <v>0</v>
      </c>
      <c r="Q340" t="n">
        <v>0</v>
      </c>
      <c r="R340" s="2" t="inlineStr"/>
    </row>
    <row r="341" ht="15" customHeight="1">
      <c r="A341" t="inlineStr">
        <is>
          <t>A 57243-2022</t>
        </is>
      </c>
      <c r="B341" s="1" t="n">
        <v>44895.71835648148</v>
      </c>
      <c r="C341" s="1" t="n">
        <v>46041</v>
      </c>
      <c r="D341" t="inlineStr">
        <is>
          <t>ÖREBRO LÄN</t>
        </is>
      </c>
      <c r="E341" t="inlineStr">
        <is>
          <t>ÖREBRO</t>
        </is>
      </c>
      <c r="G341" t="n">
        <v>6</v>
      </c>
      <c r="H341" t="n">
        <v>0</v>
      </c>
      <c r="I341" t="n">
        <v>0</v>
      </c>
      <c r="J341" t="n">
        <v>0</v>
      </c>
      <c r="K341" t="n">
        <v>0</v>
      </c>
      <c r="L341" t="n">
        <v>0</v>
      </c>
      <c r="M341" t="n">
        <v>0</v>
      </c>
      <c r="N341" t="n">
        <v>0</v>
      </c>
      <c r="O341" t="n">
        <v>0</v>
      </c>
      <c r="P341" t="n">
        <v>0</v>
      </c>
      <c r="Q341" t="n">
        <v>0</v>
      </c>
      <c r="R341" s="2" t="inlineStr"/>
    </row>
    <row r="342" ht="15" customHeight="1">
      <c r="A342" t="inlineStr">
        <is>
          <t>A 53715-2025</t>
        </is>
      </c>
      <c r="B342" s="1" t="n">
        <v>45960.61763888889</v>
      </c>
      <c r="C342" s="1" t="n">
        <v>46041</v>
      </c>
      <c r="D342" t="inlineStr">
        <is>
          <t>ÖREBRO LÄN</t>
        </is>
      </c>
      <c r="E342" t="inlineStr">
        <is>
          <t>ÖREBRO</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53719-2025</t>
        </is>
      </c>
      <c r="B343" s="1" t="n">
        <v>45960.62042824074</v>
      </c>
      <c r="C343" s="1" t="n">
        <v>46041</v>
      </c>
      <c r="D343" t="inlineStr">
        <is>
          <t>ÖREBRO LÄN</t>
        </is>
      </c>
      <c r="E343" t="inlineStr">
        <is>
          <t>ÖREBRO</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53343-2025</t>
        </is>
      </c>
      <c r="B344" s="1" t="n">
        <v>45959.42025462963</v>
      </c>
      <c r="C344" s="1" t="n">
        <v>46041</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46041</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58621-2024</t>
        </is>
      </c>
      <c r="B346" s="1" t="n">
        <v>45635.56321759259</v>
      </c>
      <c r="C346" s="1" t="n">
        <v>46041</v>
      </c>
      <c r="D346" t="inlineStr">
        <is>
          <t>ÖREBRO LÄN</t>
        </is>
      </c>
      <c r="E346" t="inlineStr">
        <is>
          <t>ÖREBRO</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61525-2025</t>
        </is>
      </c>
      <c r="B347" s="1" t="n">
        <v>46001</v>
      </c>
      <c r="C347" s="1" t="n">
        <v>46041</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58216-2024</t>
        </is>
      </c>
      <c r="B348" s="1" t="n">
        <v>45632</v>
      </c>
      <c r="C348" s="1" t="n">
        <v>46041</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46041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53437-2025</t>
        </is>
      </c>
      <c r="B350" s="1" t="n">
        <v>45959.63440972222</v>
      </c>
      <c r="C350" s="1" t="n">
        <v>46041</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53342-2025</t>
        </is>
      </c>
      <c r="B351" s="1" t="n">
        <v>45959.41769675926</v>
      </c>
      <c r="C351" s="1" t="n">
        <v>46041</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46041</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767-2024</t>
        </is>
      </c>
      <c r="B353" s="1" t="n">
        <v>45300.51892361111</v>
      </c>
      <c r="C353" s="1" t="n">
        <v>46041</v>
      </c>
      <c r="D353" t="inlineStr">
        <is>
          <t>ÖREBRO LÄN</t>
        </is>
      </c>
      <c r="E353" t="inlineStr">
        <is>
          <t>ÖREBRO</t>
        </is>
      </c>
      <c r="G353" t="n">
        <v>2</v>
      </c>
      <c r="H353" t="n">
        <v>0</v>
      </c>
      <c r="I353" t="n">
        <v>0</v>
      </c>
      <c r="J353" t="n">
        <v>0</v>
      </c>
      <c r="K353" t="n">
        <v>0</v>
      </c>
      <c r="L353" t="n">
        <v>0</v>
      </c>
      <c r="M353" t="n">
        <v>0</v>
      </c>
      <c r="N353" t="n">
        <v>0</v>
      </c>
      <c r="O353" t="n">
        <v>0</v>
      </c>
      <c r="P353" t="n">
        <v>0</v>
      </c>
      <c r="Q353" t="n">
        <v>0</v>
      </c>
      <c r="R353" s="2" t="inlineStr"/>
    </row>
    <row r="354" ht="15" customHeight="1">
      <c r="A354" t="inlineStr">
        <is>
          <t>A 44511-2023</t>
        </is>
      </c>
      <c r="B354" s="1" t="n">
        <v>45189</v>
      </c>
      <c r="C354" s="1" t="n">
        <v>46041</v>
      </c>
      <c r="D354" t="inlineStr">
        <is>
          <t>ÖREBRO LÄN</t>
        </is>
      </c>
      <c r="E354" t="inlineStr">
        <is>
          <t>ÖREBRO</t>
        </is>
      </c>
      <c r="F354" t="inlineStr">
        <is>
          <t>Allmännings- och besparingsskogar</t>
        </is>
      </c>
      <c r="G354" t="n">
        <v>2.7</v>
      </c>
      <c r="H354" t="n">
        <v>0</v>
      </c>
      <c r="I354" t="n">
        <v>0</v>
      </c>
      <c r="J354" t="n">
        <v>0</v>
      </c>
      <c r="K354" t="n">
        <v>0</v>
      </c>
      <c r="L354" t="n">
        <v>0</v>
      </c>
      <c r="M354" t="n">
        <v>0</v>
      </c>
      <c r="N354" t="n">
        <v>0</v>
      </c>
      <c r="O354" t="n">
        <v>0</v>
      </c>
      <c r="P354" t="n">
        <v>0</v>
      </c>
      <c r="Q354" t="n">
        <v>0</v>
      </c>
      <c r="R354" s="2" t="inlineStr"/>
    </row>
    <row r="355" ht="15" customHeight="1">
      <c r="A355" t="inlineStr">
        <is>
          <t>A 53234-2023</t>
        </is>
      </c>
      <c r="B355" s="1" t="n">
        <v>45229</v>
      </c>
      <c r="C355" s="1" t="n">
        <v>46041</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8512-2025</t>
        </is>
      </c>
      <c r="B356" s="1" t="n">
        <v>45709.54873842592</v>
      </c>
      <c r="C356" s="1" t="n">
        <v>46041</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28054-2022</t>
        </is>
      </c>
      <c r="B357" s="1" t="n">
        <v>44746.41938657407</v>
      </c>
      <c r="C357" s="1" t="n">
        <v>46041</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1647-2024</t>
        </is>
      </c>
      <c r="B358" s="1" t="n">
        <v>45306</v>
      </c>
      <c r="C358" s="1" t="n">
        <v>46041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57485-2023</t>
        </is>
      </c>
      <c r="B359" s="1" t="n">
        <v>45246</v>
      </c>
      <c r="C359" s="1" t="n">
        <v>46041</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61930-2025</t>
        </is>
      </c>
      <c r="B360" s="1" t="n">
        <v>46003</v>
      </c>
      <c r="C360" s="1" t="n">
        <v>46041</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58032-2023</t>
        </is>
      </c>
      <c r="B361" s="1" t="n">
        <v>45247</v>
      </c>
      <c r="C361" s="1" t="n">
        <v>46041</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58035-2023</t>
        </is>
      </c>
      <c r="B362" s="1" t="n">
        <v>45247</v>
      </c>
      <c r="C362" s="1" t="n">
        <v>46041</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35829-2024</t>
        </is>
      </c>
      <c r="B363" s="1" t="n">
        <v>45532</v>
      </c>
      <c r="C363" s="1" t="n">
        <v>46041</v>
      </c>
      <c r="D363" t="inlineStr">
        <is>
          <t>ÖREBRO LÄN</t>
        </is>
      </c>
      <c r="E363" t="inlineStr">
        <is>
          <t>ÖREBRO</t>
        </is>
      </c>
      <c r="G363" t="n">
        <v>4.6</v>
      </c>
      <c r="H363" t="n">
        <v>0</v>
      </c>
      <c r="I363" t="n">
        <v>0</v>
      </c>
      <c r="J363" t="n">
        <v>0</v>
      </c>
      <c r="K363" t="n">
        <v>0</v>
      </c>
      <c r="L363" t="n">
        <v>0</v>
      </c>
      <c r="M363" t="n">
        <v>0</v>
      </c>
      <c r="N363" t="n">
        <v>0</v>
      </c>
      <c r="O363" t="n">
        <v>0</v>
      </c>
      <c r="P363" t="n">
        <v>0</v>
      </c>
      <c r="Q363" t="n">
        <v>0</v>
      </c>
      <c r="R363" s="2" t="inlineStr"/>
    </row>
    <row r="364" ht="15" customHeight="1">
      <c r="A364" t="inlineStr">
        <is>
          <t>A 35833-2024</t>
        </is>
      </c>
      <c r="B364" s="1" t="n">
        <v>45532.68699074074</v>
      </c>
      <c r="C364" s="1" t="n">
        <v>46041</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54205-2025</t>
        </is>
      </c>
      <c r="B365" s="1" t="n">
        <v>45964.58512731481</v>
      </c>
      <c r="C365" s="1" t="n">
        <v>46041</v>
      </c>
      <c r="D365" t="inlineStr">
        <is>
          <t>ÖREBRO LÄN</t>
        </is>
      </c>
      <c r="E365" t="inlineStr">
        <is>
          <t>ÖREBRO</t>
        </is>
      </c>
      <c r="G365" t="n">
        <v>24.3</v>
      </c>
      <c r="H365" t="n">
        <v>0</v>
      </c>
      <c r="I365" t="n">
        <v>0</v>
      </c>
      <c r="J365" t="n">
        <v>0</v>
      </c>
      <c r="K365" t="n">
        <v>0</v>
      </c>
      <c r="L365" t="n">
        <v>0</v>
      </c>
      <c r="M365" t="n">
        <v>0</v>
      </c>
      <c r="N365" t="n">
        <v>0</v>
      </c>
      <c r="O365" t="n">
        <v>0</v>
      </c>
      <c r="P365" t="n">
        <v>0</v>
      </c>
      <c r="Q365" t="n">
        <v>0</v>
      </c>
      <c r="R365" s="2" t="inlineStr"/>
    </row>
    <row r="366" ht="15" customHeight="1">
      <c r="A366" t="inlineStr">
        <is>
          <t>A 37012-2024</t>
        </is>
      </c>
      <c r="B366" s="1" t="n">
        <v>45539</v>
      </c>
      <c r="C366" s="1" t="n">
        <v>46041</v>
      </c>
      <c r="D366" t="inlineStr">
        <is>
          <t>ÖREBRO LÄN</t>
        </is>
      </c>
      <c r="E366" t="inlineStr">
        <is>
          <t>ÖREBRO</t>
        </is>
      </c>
      <c r="G366" t="n">
        <v>4.1</v>
      </c>
      <c r="H366" t="n">
        <v>0</v>
      </c>
      <c r="I366" t="n">
        <v>0</v>
      </c>
      <c r="J366" t="n">
        <v>0</v>
      </c>
      <c r="K366" t="n">
        <v>0</v>
      </c>
      <c r="L366" t="n">
        <v>0</v>
      </c>
      <c r="M366" t="n">
        <v>0</v>
      </c>
      <c r="N366" t="n">
        <v>0</v>
      </c>
      <c r="O366" t="n">
        <v>0</v>
      </c>
      <c r="P366" t="n">
        <v>0</v>
      </c>
      <c r="Q366" t="n">
        <v>0</v>
      </c>
      <c r="R366" s="2" t="inlineStr"/>
    </row>
    <row r="367" ht="15" customHeight="1">
      <c r="A367" t="inlineStr">
        <is>
          <t>A 37020-2024</t>
        </is>
      </c>
      <c r="B367" s="1" t="n">
        <v>45539.38059027777</v>
      </c>
      <c r="C367" s="1" t="n">
        <v>46041</v>
      </c>
      <c r="D367" t="inlineStr">
        <is>
          <t>ÖREBRO LÄN</t>
        </is>
      </c>
      <c r="E367" t="inlineStr">
        <is>
          <t>ÖREBRO</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55353-2024</t>
        </is>
      </c>
      <c r="B368" s="1" t="n">
        <v>45621.79526620371</v>
      </c>
      <c r="C368" s="1" t="n">
        <v>46041</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14717-2024</t>
        </is>
      </c>
      <c r="B369" s="1" t="n">
        <v>45397.55104166667</v>
      </c>
      <c r="C369" s="1" t="n">
        <v>46041</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46041</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62683-2025</t>
        </is>
      </c>
      <c r="B371" s="1" t="n">
        <v>46008.45796296297</v>
      </c>
      <c r="C371" s="1" t="n">
        <v>46041</v>
      </c>
      <c r="D371" t="inlineStr">
        <is>
          <t>ÖREBRO LÄN</t>
        </is>
      </c>
      <c r="E371" t="inlineStr">
        <is>
          <t>ÖREBRO</t>
        </is>
      </c>
      <c r="G371" t="n">
        <v>5.1</v>
      </c>
      <c r="H371" t="n">
        <v>0</v>
      </c>
      <c r="I371" t="n">
        <v>0</v>
      </c>
      <c r="J371" t="n">
        <v>0</v>
      </c>
      <c r="K371" t="n">
        <v>0</v>
      </c>
      <c r="L371" t="n">
        <v>0</v>
      </c>
      <c r="M371" t="n">
        <v>0</v>
      </c>
      <c r="N371" t="n">
        <v>0</v>
      </c>
      <c r="O371" t="n">
        <v>0</v>
      </c>
      <c r="P371" t="n">
        <v>0</v>
      </c>
      <c r="Q371" t="n">
        <v>0</v>
      </c>
      <c r="R371" s="2" t="inlineStr"/>
    </row>
    <row r="372" ht="15" customHeight="1">
      <c r="A372" t="inlineStr">
        <is>
          <t>A 541-2025</t>
        </is>
      </c>
      <c r="B372" s="1" t="n">
        <v>45664.52034722222</v>
      </c>
      <c r="C372" s="1" t="n">
        <v>46041</v>
      </c>
      <c r="D372" t="inlineStr">
        <is>
          <t>ÖREBRO LÄN</t>
        </is>
      </c>
      <c r="E372" t="inlineStr">
        <is>
          <t>ÖREBRO</t>
        </is>
      </c>
      <c r="G372" t="n">
        <v>2.2</v>
      </c>
      <c r="H372" t="n">
        <v>0</v>
      </c>
      <c r="I372" t="n">
        <v>0</v>
      </c>
      <c r="J372" t="n">
        <v>0</v>
      </c>
      <c r="K372" t="n">
        <v>0</v>
      </c>
      <c r="L372" t="n">
        <v>0</v>
      </c>
      <c r="M372" t="n">
        <v>0</v>
      </c>
      <c r="N372" t="n">
        <v>0</v>
      </c>
      <c r="O372" t="n">
        <v>0</v>
      </c>
      <c r="P372" t="n">
        <v>0</v>
      </c>
      <c r="Q372" t="n">
        <v>0</v>
      </c>
      <c r="R372" s="2" t="inlineStr"/>
    </row>
    <row r="373" ht="15" customHeight="1">
      <c r="A373" t="inlineStr">
        <is>
          <t>A 5133-2024</t>
        </is>
      </c>
      <c r="B373" s="1" t="n">
        <v>45330</v>
      </c>
      <c r="C373" s="1" t="n">
        <v>46041</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14432-2023</t>
        </is>
      </c>
      <c r="B374" s="1" t="n">
        <v>45012</v>
      </c>
      <c r="C374" s="1" t="n">
        <v>46041</v>
      </c>
      <c r="D374" t="inlineStr">
        <is>
          <t>ÖREBRO LÄN</t>
        </is>
      </c>
      <c r="E374" t="inlineStr">
        <is>
          <t>ÖREBRO</t>
        </is>
      </c>
      <c r="G374" t="n">
        <v>3.3</v>
      </c>
      <c r="H374" t="n">
        <v>0</v>
      </c>
      <c r="I374" t="n">
        <v>0</v>
      </c>
      <c r="J374" t="n">
        <v>0</v>
      </c>
      <c r="K374" t="n">
        <v>0</v>
      </c>
      <c r="L374" t="n">
        <v>0</v>
      </c>
      <c r="M374" t="n">
        <v>0</v>
      </c>
      <c r="N374" t="n">
        <v>0</v>
      </c>
      <c r="O374" t="n">
        <v>0</v>
      </c>
      <c r="P374" t="n">
        <v>0</v>
      </c>
      <c r="Q374" t="n">
        <v>0</v>
      </c>
      <c r="R374" s="2" t="inlineStr"/>
    </row>
    <row r="375" ht="15" customHeight="1">
      <c r="A375" t="inlineStr">
        <is>
          <t>A 10339-2023</t>
        </is>
      </c>
      <c r="B375" s="1" t="n">
        <v>44987</v>
      </c>
      <c r="C375" s="1" t="n">
        <v>46041</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19553-2023</t>
        </is>
      </c>
      <c r="B376" s="1" t="n">
        <v>45050</v>
      </c>
      <c r="C376" s="1" t="n">
        <v>46041</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190-2024</t>
        </is>
      </c>
      <c r="B377" s="1" t="n">
        <v>45294.61858796296</v>
      </c>
      <c r="C377" s="1" t="n">
        <v>46041</v>
      </c>
      <c r="D377" t="inlineStr">
        <is>
          <t>ÖREBRO LÄN</t>
        </is>
      </c>
      <c r="E377" t="inlineStr">
        <is>
          <t>ÖREBRO</t>
        </is>
      </c>
      <c r="G377" t="n">
        <v>2.4</v>
      </c>
      <c r="H377" t="n">
        <v>0</v>
      </c>
      <c r="I377" t="n">
        <v>0</v>
      </c>
      <c r="J377" t="n">
        <v>0</v>
      </c>
      <c r="K377" t="n">
        <v>0</v>
      </c>
      <c r="L377" t="n">
        <v>0</v>
      </c>
      <c r="M377" t="n">
        <v>0</v>
      </c>
      <c r="N377" t="n">
        <v>0</v>
      </c>
      <c r="O377" t="n">
        <v>0</v>
      </c>
      <c r="P377" t="n">
        <v>0</v>
      </c>
      <c r="Q377" t="n">
        <v>0</v>
      </c>
      <c r="R377" s="2" t="inlineStr"/>
    </row>
    <row r="378" ht="15" customHeight="1">
      <c r="A378" t="inlineStr">
        <is>
          <t>A 37025-2024</t>
        </is>
      </c>
      <c r="B378" s="1" t="n">
        <v>45539.3840162037</v>
      </c>
      <c r="C378" s="1" t="n">
        <v>46041</v>
      </c>
      <c r="D378" t="inlineStr">
        <is>
          <t>ÖREBRO LÄN</t>
        </is>
      </c>
      <c r="E378" t="inlineStr">
        <is>
          <t>ÖREBRO</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37027-2024</t>
        </is>
      </c>
      <c r="B379" s="1" t="n">
        <v>45539.38487268519</v>
      </c>
      <c r="C379" s="1" t="n">
        <v>46041</v>
      </c>
      <c r="D379" t="inlineStr">
        <is>
          <t>ÖREBRO LÄN</t>
        </is>
      </c>
      <c r="E379" t="inlineStr">
        <is>
          <t>ÖREBRO</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23594-2023</t>
        </is>
      </c>
      <c r="B380" s="1" t="n">
        <v>45077</v>
      </c>
      <c r="C380" s="1" t="n">
        <v>46041</v>
      </c>
      <c r="D380" t="inlineStr">
        <is>
          <t>ÖREBRO LÄN</t>
        </is>
      </c>
      <c r="E380" t="inlineStr">
        <is>
          <t>ÖREBRO</t>
        </is>
      </c>
      <c r="G380" t="n">
        <v>9.9</v>
      </c>
      <c r="H380" t="n">
        <v>0</v>
      </c>
      <c r="I380" t="n">
        <v>0</v>
      </c>
      <c r="J380" t="n">
        <v>0</v>
      </c>
      <c r="K380" t="n">
        <v>0</v>
      </c>
      <c r="L380" t="n">
        <v>0</v>
      </c>
      <c r="M380" t="n">
        <v>0</v>
      </c>
      <c r="N380" t="n">
        <v>0</v>
      </c>
      <c r="O380" t="n">
        <v>0</v>
      </c>
      <c r="P380" t="n">
        <v>0</v>
      </c>
      <c r="Q380" t="n">
        <v>0</v>
      </c>
      <c r="R380" s="2" t="inlineStr"/>
    </row>
    <row r="381" ht="15" customHeight="1">
      <c r="A381" t="inlineStr">
        <is>
          <t>A 8022-2022</t>
        </is>
      </c>
      <c r="B381" s="1" t="n">
        <v>44609</v>
      </c>
      <c r="C381" s="1" t="n">
        <v>46041</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62497-2023</t>
        </is>
      </c>
      <c r="B382" s="1" t="n">
        <v>45268.59935185185</v>
      </c>
      <c r="C382" s="1" t="n">
        <v>46041</v>
      </c>
      <c r="D382" t="inlineStr">
        <is>
          <t>ÖREBRO LÄN</t>
        </is>
      </c>
      <c r="E382" t="inlineStr">
        <is>
          <t>ÖREBRO</t>
        </is>
      </c>
      <c r="F382" t="inlineStr">
        <is>
          <t>Övriga Aktiebolag</t>
        </is>
      </c>
      <c r="G382" t="n">
        <v>3.2</v>
      </c>
      <c r="H382" t="n">
        <v>0</v>
      </c>
      <c r="I382" t="n">
        <v>0</v>
      </c>
      <c r="J382" t="n">
        <v>0</v>
      </c>
      <c r="K382" t="n">
        <v>0</v>
      </c>
      <c r="L382" t="n">
        <v>0</v>
      </c>
      <c r="M382" t="n">
        <v>0</v>
      </c>
      <c r="N382" t="n">
        <v>0</v>
      </c>
      <c r="O382" t="n">
        <v>0</v>
      </c>
      <c r="P382" t="n">
        <v>0</v>
      </c>
      <c r="Q382" t="n">
        <v>0</v>
      </c>
      <c r="R382" s="2" t="inlineStr"/>
    </row>
    <row r="383" ht="15" customHeight="1">
      <c r="A383" t="inlineStr">
        <is>
          <t>A 47193-2023</t>
        </is>
      </c>
      <c r="B383" s="1" t="n">
        <v>45202.3074537037</v>
      </c>
      <c r="C383" s="1" t="n">
        <v>46041</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55003-2025</t>
        </is>
      </c>
      <c r="B384" s="1" t="n">
        <v>45967</v>
      </c>
      <c r="C384" s="1" t="n">
        <v>46041</v>
      </c>
      <c r="D384" t="inlineStr">
        <is>
          <t>ÖREBRO LÄN</t>
        </is>
      </c>
      <c r="E384" t="inlineStr">
        <is>
          <t>ÖREBRO</t>
        </is>
      </c>
      <c r="F384" t="inlineStr">
        <is>
          <t>Övriga Aktiebolag</t>
        </is>
      </c>
      <c r="G384" t="n">
        <v>1.9</v>
      </c>
      <c r="H384" t="n">
        <v>0</v>
      </c>
      <c r="I384" t="n">
        <v>0</v>
      </c>
      <c r="J384" t="n">
        <v>0</v>
      </c>
      <c r="K384" t="n">
        <v>0</v>
      </c>
      <c r="L384" t="n">
        <v>0</v>
      </c>
      <c r="M384" t="n">
        <v>0</v>
      </c>
      <c r="N384" t="n">
        <v>0</v>
      </c>
      <c r="O384" t="n">
        <v>0</v>
      </c>
      <c r="P384" t="n">
        <v>0</v>
      </c>
      <c r="Q384" t="n">
        <v>0</v>
      </c>
      <c r="R384" s="2" t="inlineStr"/>
    </row>
    <row r="385" ht="15" customHeight="1">
      <c r="A385" t="inlineStr">
        <is>
          <t>A 43399-2022</t>
        </is>
      </c>
      <c r="B385" s="1" t="n">
        <v>44834</v>
      </c>
      <c r="C385" s="1" t="n">
        <v>46041</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58598-2022</t>
        </is>
      </c>
      <c r="B386" s="1" t="n">
        <v>44902</v>
      </c>
      <c r="C386" s="1" t="n">
        <v>46041</v>
      </c>
      <c r="D386" t="inlineStr">
        <is>
          <t>ÖREBRO LÄN</t>
        </is>
      </c>
      <c r="E386" t="inlineStr">
        <is>
          <t>ÖREBRO</t>
        </is>
      </c>
      <c r="G386" t="n">
        <v>0.4</v>
      </c>
      <c r="H386" t="n">
        <v>0</v>
      </c>
      <c r="I386" t="n">
        <v>0</v>
      </c>
      <c r="J386" t="n">
        <v>0</v>
      </c>
      <c r="K386" t="n">
        <v>0</v>
      </c>
      <c r="L386" t="n">
        <v>0</v>
      </c>
      <c r="M386" t="n">
        <v>0</v>
      </c>
      <c r="N386" t="n">
        <v>0</v>
      </c>
      <c r="O386" t="n">
        <v>0</v>
      </c>
      <c r="P386" t="n">
        <v>0</v>
      </c>
      <c r="Q386" t="n">
        <v>0</v>
      </c>
      <c r="R386" s="2" t="inlineStr"/>
    </row>
    <row r="387" ht="15" customHeight="1">
      <c r="A387" t="inlineStr">
        <is>
          <t>A 63142-2023</t>
        </is>
      </c>
      <c r="B387" s="1" t="n">
        <v>45273</v>
      </c>
      <c r="C387" s="1" t="n">
        <v>46041</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37021-2024</t>
        </is>
      </c>
      <c r="B388" s="1" t="n">
        <v>45539.38146990741</v>
      </c>
      <c r="C388" s="1" t="n">
        <v>46041</v>
      </c>
      <c r="D388" t="inlineStr">
        <is>
          <t>ÖREBRO LÄN</t>
        </is>
      </c>
      <c r="E388" t="inlineStr">
        <is>
          <t>ÖREBRO</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23573-2023</t>
        </is>
      </c>
      <c r="B389" s="1" t="n">
        <v>45077.41672453703</v>
      </c>
      <c r="C389" s="1" t="n">
        <v>46041</v>
      </c>
      <c r="D389" t="inlineStr">
        <is>
          <t>ÖREBRO LÄN</t>
        </is>
      </c>
      <c r="E389" t="inlineStr">
        <is>
          <t>ÖREBRO</t>
        </is>
      </c>
      <c r="G389" t="n">
        <v>2.9</v>
      </c>
      <c r="H389" t="n">
        <v>0</v>
      </c>
      <c r="I389" t="n">
        <v>0</v>
      </c>
      <c r="J389" t="n">
        <v>0</v>
      </c>
      <c r="K389" t="n">
        <v>0</v>
      </c>
      <c r="L389" t="n">
        <v>0</v>
      </c>
      <c r="M389" t="n">
        <v>0</v>
      </c>
      <c r="N389" t="n">
        <v>0</v>
      </c>
      <c r="O389" t="n">
        <v>0</v>
      </c>
      <c r="P389" t="n">
        <v>0</v>
      </c>
      <c r="Q389" t="n">
        <v>0</v>
      </c>
      <c r="R389" s="2" t="inlineStr"/>
    </row>
    <row r="390" ht="15" customHeight="1">
      <c r="A390" t="inlineStr">
        <is>
          <t>A 71206-2021</t>
        </is>
      </c>
      <c r="B390" s="1" t="n">
        <v>44539</v>
      </c>
      <c r="C390" s="1" t="n">
        <v>46041</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13762-2023</t>
        </is>
      </c>
      <c r="B391" s="1" t="n">
        <v>45007.43729166667</v>
      </c>
      <c r="C391" s="1" t="n">
        <v>46041</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63666-2025</t>
        </is>
      </c>
      <c r="B392" s="1" t="n">
        <v>46014.45650462963</v>
      </c>
      <c r="C392" s="1" t="n">
        <v>46041</v>
      </c>
      <c r="D392" t="inlineStr">
        <is>
          <t>ÖREBRO LÄN</t>
        </is>
      </c>
      <c r="E392" t="inlineStr">
        <is>
          <t>ÖREBRO</t>
        </is>
      </c>
      <c r="F392" t="inlineStr">
        <is>
          <t>Allmännings- och besparingsskogar</t>
        </is>
      </c>
      <c r="G392" t="n">
        <v>2.6</v>
      </c>
      <c r="H392" t="n">
        <v>0</v>
      </c>
      <c r="I392" t="n">
        <v>0</v>
      </c>
      <c r="J392" t="n">
        <v>0</v>
      </c>
      <c r="K392" t="n">
        <v>0</v>
      </c>
      <c r="L392" t="n">
        <v>0</v>
      </c>
      <c r="M392" t="n">
        <v>0</v>
      </c>
      <c r="N392" t="n">
        <v>0</v>
      </c>
      <c r="O392" t="n">
        <v>0</v>
      </c>
      <c r="P392" t="n">
        <v>0</v>
      </c>
      <c r="Q392" t="n">
        <v>0</v>
      </c>
      <c r="R392" s="2" t="inlineStr"/>
    </row>
    <row r="393" ht="15" customHeight="1">
      <c r="A393" t="inlineStr">
        <is>
          <t>A 55748-2025</t>
        </is>
      </c>
      <c r="B393" s="1" t="n">
        <v>45972.57893518519</v>
      </c>
      <c r="C393" s="1" t="n">
        <v>46041</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55750-2025</t>
        </is>
      </c>
      <c r="B394" s="1" t="n">
        <v>45972.58171296296</v>
      </c>
      <c r="C394" s="1" t="n">
        <v>46041</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63657-2025</t>
        </is>
      </c>
      <c r="B395" s="1" t="n">
        <v>46014.44479166667</v>
      </c>
      <c r="C395" s="1" t="n">
        <v>46041</v>
      </c>
      <c r="D395" t="inlineStr">
        <is>
          <t>ÖREBRO LÄN</t>
        </is>
      </c>
      <c r="E395" t="inlineStr">
        <is>
          <t>ÖREBRO</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5129-2024</t>
        </is>
      </c>
      <c r="B396" s="1" t="n">
        <v>45330</v>
      </c>
      <c r="C396" s="1" t="n">
        <v>46041</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63662-2025</t>
        </is>
      </c>
      <c r="B397" s="1" t="n">
        <v>46014.45055555556</v>
      </c>
      <c r="C397" s="1" t="n">
        <v>46041</v>
      </c>
      <c r="D397" t="inlineStr">
        <is>
          <t>ÖREBRO LÄN</t>
        </is>
      </c>
      <c r="E397" t="inlineStr">
        <is>
          <t>ÖREBRO</t>
        </is>
      </c>
      <c r="F397" t="inlineStr">
        <is>
          <t>Allmännings- och besparingsskogar</t>
        </is>
      </c>
      <c r="G397" t="n">
        <v>3.2</v>
      </c>
      <c r="H397" t="n">
        <v>0</v>
      </c>
      <c r="I397" t="n">
        <v>0</v>
      </c>
      <c r="J397" t="n">
        <v>0</v>
      </c>
      <c r="K397" t="n">
        <v>0</v>
      </c>
      <c r="L397" t="n">
        <v>0</v>
      </c>
      <c r="M397" t="n">
        <v>0</v>
      </c>
      <c r="N397" t="n">
        <v>0</v>
      </c>
      <c r="O397" t="n">
        <v>0</v>
      </c>
      <c r="P397" t="n">
        <v>0</v>
      </c>
      <c r="Q397" t="n">
        <v>0</v>
      </c>
      <c r="R397" s="2" t="inlineStr"/>
    </row>
    <row r="398" ht="15" customHeight="1">
      <c r="A398" t="inlineStr">
        <is>
          <t>A 16739-2022</t>
        </is>
      </c>
      <c r="B398" s="1" t="n">
        <v>44673</v>
      </c>
      <c r="C398" s="1" t="n">
        <v>46041</v>
      </c>
      <c r="D398" t="inlineStr">
        <is>
          <t>ÖREBRO LÄN</t>
        </is>
      </c>
      <c r="E398" t="inlineStr">
        <is>
          <t>ÖREBRO</t>
        </is>
      </c>
      <c r="G398" t="n">
        <v>4.7</v>
      </c>
      <c r="H398" t="n">
        <v>0</v>
      </c>
      <c r="I398" t="n">
        <v>0</v>
      </c>
      <c r="J398" t="n">
        <v>0</v>
      </c>
      <c r="K398" t="n">
        <v>0</v>
      </c>
      <c r="L398" t="n">
        <v>0</v>
      </c>
      <c r="M398" t="n">
        <v>0</v>
      </c>
      <c r="N398" t="n">
        <v>0</v>
      </c>
      <c r="O398" t="n">
        <v>0</v>
      </c>
      <c r="P398" t="n">
        <v>0</v>
      </c>
      <c r="Q398" t="n">
        <v>0</v>
      </c>
      <c r="R398" s="2" t="inlineStr"/>
    </row>
    <row r="399" ht="15" customHeight="1">
      <c r="A399" t="inlineStr">
        <is>
          <t>A 1492-2022</t>
        </is>
      </c>
      <c r="B399" s="1" t="n">
        <v>44573</v>
      </c>
      <c r="C399" s="1" t="n">
        <v>46041</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59026-2024</t>
        </is>
      </c>
      <c r="B400" s="1" t="n">
        <v>45636.6875</v>
      </c>
      <c r="C400" s="1" t="n">
        <v>46041</v>
      </c>
      <c r="D400" t="inlineStr">
        <is>
          <t>ÖREBRO LÄN</t>
        </is>
      </c>
      <c r="E400" t="inlineStr">
        <is>
          <t>ÖREBRO</t>
        </is>
      </c>
      <c r="G400" t="n">
        <v>0.9</v>
      </c>
      <c r="H400" t="n">
        <v>0</v>
      </c>
      <c r="I400" t="n">
        <v>0</v>
      </c>
      <c r="J400" t="n">
        <v>0</v>
      </c>
      <c r="K400" t="n">
        <v>0</v>
      </c>
      <c r="L400" t="n">
        <v>0</v>
      </c>
      <c r="M400" t="n">
        <v>0</v>
      </c>
      <c r="N400" t="n">
        <v>0</v>
      </c>
      <c r="O400" t="n">
        <v>0</v>
      </c>
      <c r="P400" t="n">
        <v>0</v>
      </c>
      <c r="Q400" t="n">
        <v>0</v>
      </c>
      <c r="R400" s="2" t="inlineStr"/>
    </row>
    <row r="401" ht="15" customHeight="1">
      <c r="A401" t="inlineStr">
        <is>
          <t>A 55879-2025</t>
        </is>
      </c>
      <c r="B401" s="1" t="n">
        <v>45973.36508101852</v>
      </c>
      <c r="C401" s="1" t="n">
        <v>46041</v>
      </c>
      <c r="D401" t="inlineStr">
        <is>
          <t>ÖREBRO LÄN</t>
        </is>
      </c>
      <c r="E401" t="inlineStr">
        <is>
          <t>ÖREBRO</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52623-2024</t>
        </is>
      </c>
      <c r="B402" s="1" t="n">
        <v>45609</v>
      </c>
      <c r="C402" s="1" t="n">
        <v>46041</v>
      </c>
      <c r="D402" t="inlineStr">
        <is>
          <t>ÖREBRO LÄN</t>
        </is>
      </c>
      <c r="E402" t="inlineStr">
        <is>
          <t>ÖREBRO</t>
        </is>
      </c>
      <c r="F402" t="inlineStr">
        <is>
          <t>Kommuner</t>
        </is>
      </c>
      <c r="G402" t="n">
        <v>1.7</v>
      </c>
      <c r="H402" t="n">
        <v>0</v>
      </c>
      <c r="I402" t="n">
        <v>0</v>
      </c>
      <c r="J402" t="n">
        <v>0</v>
      </c>
      <c r="K402" t="n">
        <v>0</v>
      </c>
      <c r="L402" t="n">
        <v>0</v>
      </c>
      <c r="M402" t="n">
        <v>0</v>
      </c>
      <c r="N402" t="n">
        <v>0</v>
      </c>
      <c r="O402" t="n">
        <v>0</v>
      </c>
      <c r="P402" t="n">
        <v>0</v>
      </c>
      <c r="Q402" t="n">
        <v>0</v>
      </c>
      <c r="R402" s="2" t="inlineStr"/>
    </row>
    <row r="403" ht="15" customHeight="1">
      <c r="A403" t="inlineStr">
        <is>
          <t>A 62511-2023</t>
        </is>
      </c>
      <c r="B403" s="1" t="n">
        <v>45268.61855324074</v>
      </c>
      <c r="C403" s="1" t="n">
        <v>46041</v>
      </c>
      <c r="D403" t="inlineStr">
        <is>
          <t>ÖREBRO LÄN</t>
        </is>
      </c>
      <c r="E403" t="inlineStr">
        <is>
          <t>ÖREBRO</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46041</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9379-2024</t>
        </is>
      </c>
      <c r="B405" s="1" t="n">
        <v>45359.37298611111</v>
      </c>
      <c r="C405" s="1" t="n">
        <v>46041</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5398-2022</t>
        </is>
      </c>
      <c r="B406" s="1" t="n">
        <v>44595.3353587963</v>
      </c>
      <c r="C406" s="1" t="n">
        <v>46041</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40522-2024</t>
        </is>
      </c>
      <c r="B407" s="1" t="n">
        <v>45555.59717592593</v>
      </c>
      <c r="C407" s="1" t="n">
        <v>46041</v>
      </c>
      <c r="D407" t="inlineStr">
        <is>
          <t>ÖREBRO LÄN</t>
        </is>
      </c>
      <c r="E407" t="inlineStr">
        <is>
          <t>ÖREBRO</t>
        </is>
      </c>
      <c r="G407" t="n">
        <v>5.1</v>
      </c>
      <c r="H407" t="n">
        <v>0</v>
      </c>
      <c r="I407" t="n">
        <v>0</v>
      </c>
      <c r="J407" t="n">
        <v>0</v>
      </c>
      <c r="K407" t="n">
        <v>0</v>
      </c>
      <c r="L407" t="n">
        <v>0</v>
      </c>
      <c r="M407" t="n">
        <v>0</v>
      </c>
      <c r="N407" t="n">
        <v>0</v>
      </c>
      <c r="O407" t="n">
        <v>0</v>
      </c>
      <c r="P407" t="n">
        <v>0</v>
      </c>
      <c r="Q407" t="n">
        <v>0</v>
      </c>
      <c r="R407" s="2" t="inlineStr"/>
    </row>
    <row r="408" ht="15" customHeight="1">
      <c r="A408" t="inlineStr">
        <is>
          <t>A 41995-2024</t>
        </is>
      </c>
      <c r="B408" s="1" t="n">
        <v>45561.6475462963</v>
      </c>
      <c r="C408" s="1" t="n">
        <v>46041</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33577-2023</t>
        </is>
      </c>
      <c r="B409" s="1" t="n">
        <v>45131</v>
      </c>
      <c r="C409" s="1" t="n">
        <v>46041</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18360-2024</t>
        </is>
      </c>
      <c r="B410" s="1" t="n">
        <v>45422</v>
      </c>
      <c r="C410" s="1" t="n">
        <v>46041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16737-2023</t>
        </is>
      </c>
      <c r="B411" s="1" t="n">
        <v>45030.72472222222</v>
      </c>
      <c r="C411" s="1" t="n">
        <v>46041</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7611-2024</t>
        </is>
      </c>
      <c r="B412" s="1" t="n">
        <v>45348.58864583333</v>
      </c>
      <c r="C412" s="1" t="n">
        <v>46041</v>
      </c>
      <c r="D412" t="inlineStr">
        <is>
          <t>ÖREBRO LÄN</t>
        </is>
      </c>
      <c r="E412" t="inlineStr">
        <is>
          <t>ÖREBRO</t>
        </is>
      </c>
      <c r="G412" t="n">
        <v>4.2</v>
      </c>
      <c r="H412" t="n">
        <v>0</v>
      </c>
      <c r="I412" t="n">
        <v>0</v>
      </c>
      <c r="J412" t="n">
        <v>0</v>
      </c>
      <c r="K412" t="n">
        <v>0</v>
      </c>
      <c r="L412" t="n">
        <v>0</v>
      </c>
      <c r="M412" t="n">
        <v>0</v>
      </c>
      <c r="N412" t="n">
        <v>0</v>
      </c>
      <c r="O412" t="n">
        <v>0</v>
      </c>
      <c r="P412" t="n">
        <v>0</v>
      </c>
      <c r="Q412" t="n">
        <v>0</v>
      </c>
      <c r="R412" s="2" t="inlineStr"/>
    </row>
    <row r="413" ht="15" customHeight="1">
      <c r="A413" t="inlineStr">
        <is>
          <t>A 13347-2023</t>
        </is>
      </c>
      <c r="B413" s="1" t="n">
        <v>45004</v>
      </c>
      <c r="C413" s="1" t="n">
        <v>46041</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15866-2022</t>
        </is>
      </c>
      <c r="B414" s="1" t="n">
        <v>44664</v>
      </c>
      <c r="C414" s="1" t="n">
        <v>46041</v>
      </c>
      <c r="D414" t="inlineStr">
        <is>
          <t>ÖREBRO LÄN</t>
        </is>
      </c>
      <c r="E414" t="inlineStr">
        <is>
          <t>ÖREBRO</t>
        </is>
      </c>
      <c r="G414" t="n">
        <v>4</v>
      </c>
      <c r="H414" t="n">
        <v>0</v>
      </c>
      <c r="I414" t="n">
        <v>0</v>
      </c>
      <c r="J414" t="n">
        <v>0</v>
      </c>
      <c r="K414" t="n">
        <v>0</v>
      </c>
      <c r="L414" t="n">
        <v>0</v>
      </c>
      <c r="M414" t="n">
        <v>0</v>
      </c>
      <c r="N414" t="n">
        <v>0</v>
      </c>
      <c r="O414" t="n">
        <v>0</v>
      </c>
      <c r="P414" t="n">
        <v>0</v>
      </c>
      <c r="Q414" t="n">
        <v>0</v>
      </c>
      <c r="R414" s="2" t="inlineStr"/>
    </row>
    <row r="415" ht="15" customHeight="1">
      <c r="A415" t="inlineStr">
        <is>
          <t>A 2318-2023</t>
        </is>
      </c>
      <c r="B415" s="1" t="n">
        <v>44942</v>
      </c>
      <c r="C415" s="1" t="n">
        <v>46041</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187-2024</t>
        </is>
      </c>
      <c r="B416" s="1" t="n">
        <v>45294</v>
      </c>
      <c r="C416" s="1" t="n">
        <v>46041</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10832-2023</t>
        </is>
      </c>
      <c r="B417" s="1" t="n">
        <v>44990.91711805556</v>
      </c>
      <c r="C417" s="1" t="n">
        <v>46041</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2596-2022</t>
        </is>
      </c>
      <c r="B418" s="1" t="n">
        <v>44580</v>
      </c>
      <c r="C418" s="1" t="n">
        <v>46041</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5338-2024</t>
        </is>
      </c>
      <c r="B419" s="1" t="n">
        <v>45331</v>
      </c>
      <c r="C419" s="1" t="n">
        <v>46041</v>
      </c>
      <c r="D419" t="inlineStr">
        <is>
          <t>ÖREBRO LÄN</t>
        </is>
      </c>
      <c r="E419" t="inlineStr">
        <is>
          <t>ÖREBRO</t>
        </is>
      </c>
      <c r="G419" t="n">
        <v>0.6</v>
      </c>
      <c r="H419" t="n">
        <v>0</v>
      </c>
      <c r="I419" t="n">
        <v>0</v>
      </c>
      <c r="J419" t="n">
        <v>0</v>
      </c>
      <c r="K419" t="n">
        <v>0</v>
      </c>
      <c r="L419" t="n">
        <v>0</v>
      </c>
      <c r="M419" t="n">
        <v>0</v>
      </c>
      <c r="N419" t="n">
        <v>0</v>
      </c>
      <c r="O419" t="n">
        <v>0</v>
      </c>
      <c r="P419" t="n">
        <v>0</v>
      </c>
      <c r="Q419" t="n">
        <v>0</v>
      </c>
      <c r="R419" s="2" t="inlineStr"/>
    </row>
    <row r="420" ht="15" customHeight="1">
      <c r="A420" t="inlineStr">
        <is>
          <t>A 5764-2022</t>
        </is>
      </c>
      <c r="B420" s="1" t="n">
        <v>44596</v>
      </c>
      <c r="C420" s="1" t="n">
        <v>46041</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45027-2024</t>
        </is>
      </c>
      <c r="B421" s="1" t="n">
        <v>45575</v>
      </c>
      <c r="C421" s="1" t="n">
        <v>46041</v>
      </c>
      <c r="D421" t="inlineStr">
        <is>
          <t>ÖREBRO LÄN</t>
        </is>
      </c>
      <c r="E421" t="inlineStr">
        <is>
          <t>ÖREBRO</t>
        </is>
      </c>
      <c r="G421" t="n">
        <v>6.3</v>
      </c>
      <c r="H421" t="n">
        <v>0</v>
      </c>
      <c r="I421" t="n">
        <v>0</v>
      </c>
      <c r="J421" t="n">
        <v>0</v>
      </c>
      <c r="K421" t="n">
        <v>0</v>
      </c>
      <c r="L421" t="n">
        <v>0</v>
      </c>
      <c r="M421" t="n">
        <v>0</v>
      </c>
      <c r="N421" t="n">
        <v>0</v>
      </c>
      <c r="O421" t="n">
        <v>0</v>
      </c>
      <c r="P421" t="n">
        <v>0</v>
      </c>
      <c r="Q421" t="n">
        <v>0</v>
      </c>
      <c r="R421" s="2" t="inlineStr"/>
    </row>
    <row r="422" ht="15" customHeight="1">
      <c r="A422" t="inlineStr">
        <is>
          <t>A 14487-2023</t>
        </is>
      </c>
      <c r="B422" s="1" t="n">
        <v>45012</v>
      </c>
      <c r="C422" s="1" t="n">
        <v>46041</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40051-2024</t>
        </is>
      </c>
      <c r="B423" s="1" t="n">
        <v>45553</v>
      </c>
      <c r="C423" s="1" t="n">
        <v>46041</v>
      </c>
      <c r="D423" t="inlineStr">
        <is>
          <t>ÖREBRO LÄN</t>
        </is>
      </c>
      <c r="E423" t="inlineStr">
        <is>
          <t>ÖREBRO</t>
        </is>
      </c>
      <c r="G423" t="n">
        <v>3.5</v>
      </c>
      <c r="H423" t="n">
        <v>0</v>
      </c>
      <c r="I423" t="n">
        <v>0</v>
      </c>
      <c r="J423" t="n">
        <v>0</v>
      </c>
      <c r="K423" t="n">
        <v>0</v>
      </c>
      <c r="L423" t="n">
        <v>0</v>
      </c>
      <c r="M423" t="n">
        <v>0</v>
      </c>
      <c r="N423" t="n">
        <v>0</v>
      </c>
      <c r="O423" t="n">
        <v>0</v>
      </c>
      <c r="P423" t="n">
        <v>0</v>
      </c>
      <c r="Q423" t="n">
        <v>0</v>
      </c>
      <c r="R423" s="2" t="inlineStr"/>
    </row>
    <row r="424" ht="15" customHeight="1">
      <c r="A424" t="inlineStr">
        <is>
          <t>A 41543-2024</t>
        </is>
      </c>
      <c r="B424" s="1" t="n">
        <v>45560</v>
      </c>
      <c r="C424" s="1" t="n">
        <v>46041</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10799-2024</t>
        </is>
      </c>
      <c r="B425" s="1" t="n">
        <v>45369</v>
      </c>
      <c r="C425" s="1" t="n">
        <v>46041</v>
      </c>
      <c r="D425" t="inlineStr">
        <is>
          <t>ÖREBRO LÄN</t>
        </is>
      </c>
      <c r="E425" t="inlineStr">
        <is>
          <t>ÖREBRO</t>
        </is>
      </c>
      <c r="G425" t="n">
        <v>5.8</v>
      </c>
      <c r="H425" t="n">
        <v>0</v>
      </c>
      <c r="I425" t="n">
        <v>0</v>
      </c>
      <c r="J425" t="n">
        <v>0</v>
      </c>
      <c r="K425" t="n">
        <v>0</v>
      </c>
      <c r="L425" t="n">
        <v>0</v>
      </c>
      <c r="M425" t="n">
        <v>0</v>
      </c>
      <c r="N425" t="n">
        <v>0</v>
      </c>
      <c r="O425" t="n">
        <v>0</v>
      </c>
      <c r="P425" t="n">
        <v>0</v>
      </c>
      <c r="Q425" t="n">
        <v>0</v>
      </c>
      <c r="R425" s="2" t="inlineStr"/>
    </row>
    <row r="426" ht="15" customHeight="1">
      <c r="A426" t="inlineStr">
        <is>
          <t>A 8565-2021</t>
        </is>
      </c>
      <c r="B426" s="1" t="n">
        <v>44245</v>
      </c>
      <c r="C426" s="1" t="n">
        <v>46041</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4970-2022</t>
        </is>
      </c>
      <c r="B427" s="1" t="n">
        <v>44593.51175925926</v>
      </c>
      <c r="C427" s="1" t="n">
        <v>46041</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18047-2023</t>
        </is>
      </c>
      <c r="B428" s="1" t="n">
        <v>45040</v>
      </c>
      <c r="C428" s="1" t="n">
        <v>46041</v>
      </c>
      <c r="D428" t="inlineStr">
        <is>
          <t>ÖREBRO LÄN</t>
        </is>
      </c>
      <c r="E428" t="inlineStr">
        <is>
          <t>ÖREBRO</t>
        </is>
      </c>
      <c r="G428" t="n">
        <v>3.9</v>
      </c>
      <c r="H428" t="n">
        <v>0</v>
      </c>
      <c r="I428" t="n">
        <v>0</v>
      </c>
      <c r="J428" t="n">
        <v>0</v>
      </c>
      <c r="K428" t="n">
        <v>0</v>
      </c>
      <c r="L428" t="n">
        <v>0</v>
      </c>
      <c r="M428" t="n">
        <v>0</v>
      </c>
      <c r="N428" t="n">
        <v>0</v>
      </c>
      <c r="O428" t="n">
        <v>0</v>
      </c>
      <c r="P428" t="n">
        <v>0</v>
      </c>
      <c r="Q428" t="n">
        <v>0</v>
      </c>
      <c r="R428" s="2" t="inlineStr"/>
    </row>
    <row r="429" ht="15" customHeight="1">
      <c r="A429" t="inlineStr">
        <is>
          <t>A 16694-2025</t>
        </is>
      </c>
      <c r="B429" s="1" t="n">
        <v>45754.46480324074</v>
      </c>
      <c r="C429" s="1" t="n">
        <v>46041</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3789-2023</t>
        </is>
      </c>
      <c r="B430" s="1" t="n">
        <v>44951</v>
      </c>
      <c r="C430" s="1" t="n">
        <v>46041</v>
      </c>
      <c r="D430" t="inlineStr">
        <is>
          <t>ÖREBRO LÄN</t>
        </is>
      </c>
      <c r="E430" t="inlineStr">
        <is>
          <t>ÖREBRO</t>
        </is>
      </c>
      <c r="G430" t="n">
        <v>7.5</v>
      </c>
      <c r="H430" t="n">
        <v>0</v>
      </c>
      <c r="I430" t="n">
        <v>0</v>
      </c>
      <c r="J430" t="n">
        <v>0</v>
      </c>
      <c r="K430" t="n">
        <v>0</v>
      </c>
      <c r="L430" t="n">
        <v>0</v>
      </c>
      <c r="M430" t="n">
        <v>0</v>
      </c>
      <c r="N430" t="n">
        <v>0</v>
      </c>
      <c r="O430" t="n">
        <v>0</v>
      </c>
      <c r="P430" t="n">
        <v>0</v>
      </c>
      <c r="Q430" t="n">
        <v>0</v>
      </c>
      <c r="R430" s="2" t="inlineStr"/>
    </row>
    <row r="431" ht="15" customHeight="1">
      <c r="A431" t="inlineStr">
        <is>
          <t>A 49465-2024</t>
        </is>
      </c>
      <c r="B431" s="1" t="n">
        <v>45596</v>
      </c>
      <c r="C431" s="1" t="n">
        <v>46041</v>
      </c>
      <c r="D431" t="inlineStr">
        <is>
          <t>ÖREBRO LÄN</t>
        </is>
      </c>
      <c r="E431" t="inlineStr">
        <is>
          <t>ÖREBRO</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5026-2022</t>
        </is>
      </c>
      <c r="B432" s="1" t="n">
        <v>44593.63974537037</v>
      </c>
      <c r="C432" s="1" t="n">
        <v>46041</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59121-2024</t>
        </is>
      </c>
      <c r="B433" s="1" t="n">
        <v>45637.37755787037</v>
      </c>
      <c r="C433" s="1" t="n">
        <v>46041</v>
      </c>
      <c r="D433" t="inlineStr">
        <is>
          <t>ÖREBRO LÄN</t>
        </is>
      </c>
      <c r="E433" t="inlineStr">
        <is>
          <t>ÖREBRO</t>
        </is>
      </c>
      <c r="G433" t="n">
        <v>1</v>
      </c>
      <c r="H433" t="n">
        <v>0</v>
      </c>
      <c r="I433" t="n">
        <v>0</v>
      </c>
      <c r="J433" t="n">
        <v>0</v>
      </c>
      <c r="K433" t="n">
        <v>0</v>
      </c>
      <c r="L433" t="n">
        <v>0</v>
      </c>
      <c r="M433" t="n">
        <v>0</v>
      </c>
      <c r="N433" t="n">
        <v>0</v>
      </c>
      <c r="O433" t="n">
        <v>0</v>
      </c>
      <c r="P433" t="n">
        <v>0</v>
      </c>
      <c r="Q433" t="n">
        <v>0</v>
      </c>
      <c r="R433" s="2" t="inlineStr"/>
    </row>
    <row r="434" ht="15" customHeight="1">
      <c r="A434" t="inlineStr">
        <is>
          <t>A 49215-2023</t>
        </is>
      </c>
      <c r="B434" s="1" t="n">
        <v>45210.61050925926</v>
      </c>
      <c r="C434" s="1" t="n">
        <v>46041</v>
      </c>
      <c r="D434" t="inlineStr">
        <is>
          <t>ÖREBRO LÄN</t>
        </is>
      </c>
      <c r="E434" t="inlineStr">
        <is>
          <t>ÖREBRO</t>
        </is>
      </c>
      <c r="F434" t="inlineStr">
        <is>
          <t>Övriga Aktiebolag</t>
        </is>
      </c>
      <c r="G434" t="n">
        <v>4.2</v>
      </c>
      <c r="H434" t="n">
        <v>0</v>
      </c>
      <c r="I434" t="n">
        <v>0</v>
      </c>
      <c r="J434" t="n">
        <v>0</v>
      </c>
      <c r="K434" t="n">
        <v>0</v>
      </c>
      <c r="L434" t="n">
        <v>0</v>
      </c>
      <c r="M434" t="n">
        <v>0</v>
      </c>
      <c r="N434" t="n">
        <v>0</v>
      </c>
      <c r="O434" t="n">
        <v>0</v>
      </c>
      <c r="P434" t="n">
        <v>0</v>
      </c>
      <c r="Q434" t="n">
        <v>0</v>
      </c>
      <c r="R434" s="2" t="inlineStr"/>
    </row>
    <row r="435" ht="15" customHeight="1">
      <c r="A435" t="inlineStr">
        <is>
          <t>A 17983-2025</t>
        </is>
      </c>
      <c r="B435" s="1" t="n">
        <v>45761.38829861111</v>
      </c>
      <c r="C435" s="1" t="n">
        <v>46041</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54917-2023</t>
        </is>
      </c>
      <c r="B436" s="1" t="n">
        <v>45229</v>
      </c>
      <c r="C436" s="1" t="n">
        <v>46041</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44545.46072916667</v>
      </c>
      <c r="C437" s="1" t="n">
        <v>46041</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43803-2023</t>
        </is>
      </c>
      <c r="B438" s="1" t="n">
        <v>45187</v>
      </c>
      <c r="C438" s="1" t="n">
        <v>46041</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46041</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15789-2023</t>
        </is>
      </c>
      <c r="B440" s="1" t="n">
        <v>45021.71539351852</v>
      </c>
      <c r="C440" s="1" t="n">
        <v>46041</v>
      </c>
      <c r="D440" t="inlineStr">
        <is>
          <t>ÖREBRO LÄN</t>
        </is>
      </c>
      <c r="E440" t="inlineStr">
        <is>
          <t>ÖREBRO</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58539-2024</t>
        </is>
      </c>
      <c r="B441" s="1" t="n">
        <v>45635.45157407408</v>
      </c>
      <c r="C441" s="1" t="n">
        <v>46041</v>
      </c>
      <c r="D441" t="inlineStr">
        <is>
          <t>ÖREBRO LÄN</t>
        </is>
      </c>
      <c r="E441" t="inlineStr">
        <is>
          <t>ÖREBRO</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55692-2023</t>
        </is>
      </c>
      <c r="B442" s="1" t="n">
        <v>45239</v>
      </c>
      <c r="C442" s="1" t="n">
        <v>46041</v>
      </c>
      <c r="D442" t="inlineStr">
        <is>
          <t>ÖREBRO LÄN</t>
        </is>
      </c>
      <c r="E442" t="inlineStr">
        <is>
          <t>ÖREBRO</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59757-2023</t>
        </is>
      </c>
      <c r="B443" s="1" t="n">
        <v>45257.40833333333</v>
      </c>
      <c r="C443" s="1" t="n">
        <v>46041</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17869-2024</t>
        </is>
      </c>
      <c r="B444" s="1" t="n">
        <v>45419</v>
      </c>
      <c r="C444" s="1" t="n">
        <v>46041</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14715-2024</t>
        </is>
      </c>
      <c r="B445" s="1" t="n">
        <v>45397.5500462963</v>
      </c>
      <c r="C445" s="1" t="n">
        <v>46041</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71272-2021</t>
        </is>
      </c>
      <c r="B446" s="1" t="n">
        <v>44539.61571759259</v>
      </c>
      <c r="C446" s="1" t="n">
        <v>46041</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4557-2023</t>
        </is>
      </c>
      <c r="B447" s="1" t="n">
        <v>44956.6655787037</v>
      </c>
      <c r="C447" s="1" t="n">
        <v>46041</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60100-2022</t>
        </is>
      </c>
      <c r="B448" s="1" t="n">
        <v>44902</v>
      </c>
      <c r="C448" s="1" t="n">
        <v>46041</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12682-2023</t>
        </is>
      </c>
      <c r="B449" s="1" t="n">
        <v>45000.6115625</v>
      </c>
      <c r="C449" s="1" t="n">
        <v>46041</v>
      </c>
      <c r="D449" t="inlineStr">
        <is>
          <t>ÖREBRO LÄN</t>
        </is>
      </c>
      <c r="E449" t="inlineStr">
        <is>
          <t>ÖREBRO</t>
        </is>
      </c>
      <c r="F449" t="inlineStr">
        <is>
          <t>Övriga Aktiebolag</t>
        </is>
      </c>
      <c r="G449" t="n">
        <v>4.4</v>
      </c>
      <c r="H449" t="n">
        <v>0</v>
      </c>
      <c r="I449" t="n">
        <v>0</v>
      </c>
      <c r="J449" t="n">
        <v>0</v>
      </c>
      <c r="K449" t="n">
        <v>0</v>
      </c>
      <c r="L449" t="n">
        <v>0</v>
      </c>
      <c r="M449" t="n">
        <v>0</v>
      </c>
      <c r="N449" t="n">
        <v>0</v>
      </c>
      <c r="O449" t="n">
        <v>0</v>
      </c>
      <c r="P449" t="n">
        <v>0</v>
      </c>
      <c r="Q449" t="n">
        <v>0</v>
      </c>
      <c r="R449" s="2" t="inlineStr"/>
    </row>
    <row r="450" ht="15" customHeight="1">
      <c r="A450" t="inlineStr">
        <is>
          <t>A 17465-2023</t>
        </is>
      </c>
      <c r="B450" s="1" t="n">
        <v>45036</v>
      </c>
      <c r="C450" s="1" t="n">
        <v>46041</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13592-2023</t>
        </is>
      </c>
      <c r="B451" s="1" t="n">
        <v>45006.56870370371</v>
      </c>
      <c r="C451" s="1" t="n">
        <v>46041</v>
      </c>
      <c r="D451" t="inlineStr">
        <is>
          <t>ÖREBRO LÄN</t>
        </is>
      </c>
      <c r="E451" t="inlineStr">
        <is>
          <t>ÖREBRO</t>
        </is>
      </c>
      <c r="G451" t="n">
        <v>2</v>
      </c>
      <c r="H451" t="n">
        <v>0</v>
      </c>
      <c r="I451" t="n">
        <v>0</v>
      </c>
      <c r="J451" t="n">
        <v>0</v>
      </c>
      <c r="K451" t="n">
        <v>0</v>
      </c>
      <c r="L451" t="n">
        <v>0</v>
      </c>
      <c r="M451" t="n">
        <v>0</v>
      </c>
      <c r="N451" t="n">
        <v>0</v>
      </c>
      <c r="O451" t="n">
        <v>0</v>
      </c>
      <c r="P451" t="n">
        <v>0</v>
      </c>
      <c r="Q451" t="n">
        <v>0</v>
      </c>
      <c r="R451" s="2" t="inlineStr"/>
    </row>
    <row r="452" ht="15" customHeight="1">
      <c r="A452" t="inlineStr">
        <is>
          <t>A 6213-2021</t>
        </is>
      </c>
      <c r="B452" s="1" t="n">
        <v>44232</v>
      </c>
      <c r="C452" s="1" t="n">
        <v>46041</v>
      </c>
      <c r="D452" t="inlineStr">
        <is>
          <t>ÖREBRO LÄN</t>
        </is>
      </c>
      <c r="E452" t="inlineStr">
        <is>
          <t>ÖREBRO</t>
        </is>
      </c>
      <c r="G452" t="n">
        <v>4</v>
      </c>
      <c r="H452" t="n">
        <v>0</v>
      </c>
      <c r="I452" t="n">
        <v>0</v>
      </c>
      <c r="J452" t="n">
        <v>0</v>
      </c>
      <c r="K452" t="n">
        <v>0</v>
      </c>
      <c r="L452" t="n">
        <v>0</v>
      </c>
      <c r="M452" t="n">
        <v>0</v>
      </c>
      <c r="N452" t="n">
        <v>0</v>
      </c>
      <c r="O452" t="n">
        <v>0</v>
      </c>
      <c r="P452" t="n">
        <v>0</v>
      </c>
      <c r="Q452" t="n">
        <v>0</v>
      </c>
      <c r="R452" s="2" t="inlineStr"/>
    </row>
    <row r="453" ht="15" customHeight="1">
      <c r="A453" t="inlineStr">
        <is>
          <t>A 52016-2024</t>
        </is>
      </c>
      <c r="B453" s="1" t="n">
        <v>45607.81917824074</v>
      </c>
      <c r="C453" s="1" t="n">
        <v>46041</v>
      </c>
      <c r="D453" t="inlineStr">
        <is>
          <t>ÖREBRO LÄN</t>
        </is>
      </c>
      <c r="E453" t="inlineStr">
        <is>
          <t>ÖREBRO</t>
        </is>
      </c>
      <c r="G453" t="n">
        <v>1.9</v>
      </c>
      <c r="H453" t="n">
        <v>0</v>
      </c>
      <c r="I453" t="n">
        <v>0</v>
      </c>
      <c r="J453" t="n">
        <v>0</v>
      </c>
      <c r="K453" t="n">
        <v>0</v>
      </c>
      <c r="L453" t="n">
        <v>0</v>
      </c>
      <c r="M453" t="n">
        <v>0</v>
      </c>
      <c r="N453" t="n">
        <v>0</v>
      </c>
      <c r="O453" t="n">
        <v>0</v>
      </c>
      <c r="P453" t="n">
        <v>0</v>
      </c>
      <c r="Q453" t="n">
        <v>0</v>
      </c>
      <c r="R453" s="2" t="inlineStr"/>
    </row>
    <row r="454" ht="15" customHeight="1">
      <c r="A454" t="inlineStr">
        <is>
          <t>A 10368-2021</t>
        </is>
      </c>
      <c r="B454" s="1" t="n">
        <v>44257</v>
      </c>
      <c r="C454" s="1" t="n">
        <v>46041</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52477-2024</t>
        </is>
      </c>
      <c r="B455" s="1" t="n">
        <v>45609</v>
      </c>
      <c r="C455" s="1" t="n">
        <v>46041</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53558-2023</t>
        </is>
      </c>
      <c r="B456" s="1" t="n">
        <v>45230.47266203703</v>
      </c>
      <c r="C456" s="1" t="n">
        <v>46041</v>
      </c>
      <c r="D456" t="inlineStr">
        <is>
          <t>ÖREBRO LÄN</t>
        </is>
      </c>
      <c r="E456" t="inlineStr">
        <is>
          <t>ÖREBRO</t>
        </is>
      </c>
      <c r="F456" t="inlineStr">
        <is>
          <t>Övriga Aktiebolag</t>
        </is>
      </c>
      <c r="G456" t="n">
        <v>4.7</v>
      </c>
      <c r="H456" t="n">
        <v>0</v>
      </c>
      <c r="I456" t="n">
        <v>0</v>
      </c>
      <c r="J456" t="n">
        <v>0</v>
      </c>
      <c r="K456" t="n">
        <v>0</v>
      </c>
      <c r="L456" t="n">
        <v>0</v>
      </c>
      <c r="M456" t="n">
        <v>0</v>
      </c>
      <c r="N456" t="n">
        <v>0</v>
      </c>
      <c r="O456" t="n">
        <v>0</v>
      </c>
      <c r="P456" t="n">
        <v>0</v>
      </c>
      <c r="Q456" t="n">
        <v>0</v>
      </c>
      <c r="R456" s="2" t="inlineStr"/>
    </row>
    <row r="457" ht="15" customHeight="1">
      <c r="A457" t="inlineStr">
        <is>
          <t>A 59736-2023</t>
        </is>
      </c>
      <c r="B457" s="1" t="n">
        <v>45257.374375</v>
      </c>
      <c r="C457" s="1" t="n">
        <v>46041</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35843-2022</t>
        </is>
      </c>
      <c r="B458" s="1" t="n">
        <v>44802</v>
      </c>
      <c r="C458" s="1" t="n">
        <v>46041</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55355-2024</t>
        </is>
      </c>
      <c r="B459" s="1" t="n">
        <v>45621.80475694445</v>
      </c>
      <c r="C459" s="1" t="n">
        <v>46041</v>
      </c>
      <c r="D459" t="inlineStr">
        <is>
          <t>ÖREBRO LÄN</t>
        </is>
      </c>
      <c r="E459" t="inlineStr">
        <is>
          <t>ÖREBRO</t>
        </is>
      </c>
      <c r="G459" t="n">
        <v>1.6</v>
      </c>
      <c r="H459" t="n">
        <v>0</v>
      </c>
      <c r="I459" t="n">
        <v>0</v>
      </c>
      <c r="J459" t="n">
        <v>0</v>
      </c>
      <c r="K459" t="n">
        <v>0</v>
      </c>
      <c r="L459" t="n">
        <v>0</v>
      </c>
      <c r="M459" t="n">
        <v>0</v>
      </c>
      <c r="N459" t="n">
        <v>0</v>
      </c>
      <c r="O459" t="n">
        <v>0</v>
      </c>
      <c r="P459" t="n">
        <v>0</v>
      </c>
      <c r="Q459" t="n">
        <v>0</v>
      </c>
      <c r="R459" s="2" t="inlineStr"/>
    </row>
    <row r="460" ht="15" customHeight="1">
      <c r="A460" t="inlineStr">
        <is>
          <t>A 49029-2024</t>
        </is>
      </c>
      <c r="B460" s="1" t="n">
        <v>45594</v>
      </c>
      <c r="C460" s="1" t="n">
        <v>46041</v>
      </c>
      <c r="D460" t="inlineStr">
        <is>
          <t>ÖREBRO LÄN</t>
        </is>
      </c>
      <c r="E460" t="inlineStr">
        <is>
          <t>ÖREBRO</t>
        </is>
      </c>
      <c r="G460" t="n">
        <v>3.7</v>
      </c>
      <c r="H460" t="n">
        <v>0</v>
      </c>
      <c r="I460" t="n">
        <v>0</v>
      </c>
      <c r="J460" t="n">
        <v>0</v>
      </c>
      <c r="K460" t="n">
        <v>0</v>
      </c>
      <c r="L460" t="n">
        <v>0</v>
      </c>
      <c r="M460" t="n">
        <v>0</v>
      </c>
      <c r="N460" t="n">
        <v>0</v>
      </c>
      <c r="O460" t="n">
        <v>0</v>
      </c>
      <c r="P460" t="n">
        <v>0</v>
      </c>
      <c r="Q460" t="n">
        <v>0</v>
      </c>
      <c r="R460" s="2" t="inlineStr"/>
    </row>
    <row r="461" ht="15" customHeight="1">
      <c r="A461" t="inlineStr">
        <is>
          <t>A 20115-2024</t>
        </is>
      </c>
      <c r="B461" s="1" t="n">
        <v>45434</v>
      </c>
      <c r="C461" s="1" t="n">
        <v>46041</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51373-2023</t>
        </is>
      </c>
      <c r="B462" s="1" t="n">
        <v>45213</v>
      </c>
      <c r="C462" s="1" t="n">
        <v>46041</v>
      </c>
      <c r="D462" t="inlineStr">
        <is>
          <t>ÖREBRO LÄN</t>
        </is>
      </c>
      <c r="E462" t="inlineStr">
        <is>
          <t>ÖREBRO</t>
        </is>
      </c>
      <c r="G462" t="n">
        <v>5.9</v>
      </c>
      <c r="H462" t="n">
        <v>0</v>
      </c>
      <c r="I462" t="n">
        <v>0</v>
      </c>
      <c r="J462" t="n">
        <v>0</v>
      </c>
      <c r="K462" t="n">
        <v>0</v>
      </c>
      <c r="L462" t="n">
        <v>0</v>
      </c>
      <c r="M462" t="n">
        <v>0</v>
      </c>
      <c r="N462" t="n">
        <v>0</v>
      </c>
      <c r="O462" t="n">
        <v>0</v>
      </c>
      <c r="P462" t="n">
        <v>0</v>
      </c>
      <c r="Q462" t="n">
        <v>0</v>
      </c>
      <c r="R462" s="2" t="inlineStr"/>
    </row>
    <row r="463" ht="15" customHeight="1">
      <c r="A463" t="inlineStr">
        <is>
          <t>A 55875-2024</t>
        </is>
      </c>
      <c r="B463" s="1" t="n">
        <v>45623.55375</v>
      </c>
      <c r="C463" s="1" t="n">
        <v>46041</v>
      </c>
      <c r="D463" t="inlineStr">
        <is>
          <t>ÖREBRO LÄN</t>
        </is>
      </c>
      <c r="E463" t="inlineStr">
        <is>
          <t>ÖREBRO</t>
        </is>
      </c>
      <c r="G463" t="n">
        <v>3.5</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46041</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40656-2023</t>
        </is>
      </c>
      <c r="B465" s="1" t="n">
        <v>45170</v>
      </c>
      <c r="C465" s="1" t="n">
        <v>46041</v>
      </c>
      <c r="D465" t="inlineStr">
        <is>
          <t>ÖREBRO LÄN</t>
        </is>
      </c>
      <c r="E465" t="inlineStr">
        <is>
          <t>ÖREBRO</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23710-2022</t>
        </is>
      </c>
      <c r="B466" s="1" t="n">
        <v>44722</v>
      </c>
      <c r="C466" s="1" t="n">
        <v>46041</v>
      </c>
      <c r="D466" t="inlineStr">
        <is>
          <t>ÖREBRO LÄN</t>
        </is>
      </c>
      <c r="E466" t="inlineStr">
        <is>
          <t>ÖREBRO</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22677-2022</t>
        </is>
      </c>
      <c r="B467" s="1" t="n">
        <v>44714</v>
      </c>
      <c r="C467" s="1" t="n">
        <v>46041</v>
      </c>
      <c r="D467" t="inlineStr">
        <is>
          <t>ÖREBRO LÄN</t>
        </is>
      </c>
      <c r="E467" t="inlineStr">
        <is>
          <t>ÖREBRO</t>
        </is>
      </c>
      <c r="G467" t="n">
        <v>2.3</v>
      </c>
      <c r="H467" t="n">
        <v>0</v>
      </c>
      <c r="I467" t="n">
        <v>0</v>
      </c>
      <c r="J467" t="n">
        <v>0</v>
      </c>
      <c r="K467" t="n">
        <v>0</v>
      </c>
      <c r="L467" t="n">
        <v>0</v>
      </c>
      <c r="M467" t="n">
        <v>0</v>
      </c>
      <c r="N467" t="n">
        <v>0</v>
      </c>
      <c r="O467" t="n">
        <v>0</v>
      </c>
      <c r="P467" t="n">
        <v>0</v>
      </c>
      <c r="Q467" t="n">
        <v>0</v>
      </c>
      <c r="R467" s="2" t="inlineStr"/>
    </row>
    <row r="468" ht="15" customHeight="1">
      <c r="A468" t="inlineStr">
        <is>
          <t>A 10470-2025</t>
        </is>
      </c>
      <c r="B468" s="1" t="n">
        <v>45720</v>
      </c>
      <c r="C468" s="1" t="n">
        <v>46041</v>
      </c>
      <c r="D468" t="inlineStr">
        <is>
          <t>ÖREBRO LÄN</t>
        </is>
      </c>
      <c r="E468" t="inlineStr">
        <is>
          <t>ÖREBRO</t>
        </is>
      </c>
      <c r="G468" t="n">
        <v>11.5</v>
      </c>
      <c r="H468" t="n">
        <v>0</v>
      </c>
      <c r="I468" t="n">
        <v>0</v>
      </c>
      <c r="J468" t="n">
        <v>0</v>
      </c>
      <c r="K468" t="n">
        <v>0</v>
      </c>
      <c r="L468" t="n">
        <v>0</v>
      </c>
      <c r="M468" t="n">
        <v>0</v>
      </c>
      <c r="N468" t="n">
        <v>0</v>
      </c>
      <c r="O468" t="n">
        <v>0</v>
      </c>
      <c r="P468" t="n">
        <v>0</v>
      </c>
      <c r="Q468" t="n">
        <v>0</v>
      </c>
      <c r="R468" s="2" t="inlineStr"/>
    </row>
    <row r="469" ht="15" customHeight="1">
      <c r="A469" t="inlineStr">
        <is>
          <t>A 46056-2024</t>
        </is>
      </c>
      <c r="B469" s="1" t="n">
        <v>45580.91502314815</v>
      </c>
      <c r="C469" s="1" t="n">
        <v>46041</v>
      </c>
      <c r="D469" t="inlineStr">
        <is>
          <t>ÖREBRO LÄN</t>
        </is>
      </c>
      <c r="E469" t="inlineStr">
        <is>
          <t>ÖREBRO</t>
        </is>
      </c>
      <c r="F469" t="inlineStr">
        <is>
          <t>Övriga Aktiebolag</t>
        </is>
      </c>
      <c r="G469" t="n">
        <v>4.5</v>
      </c>
      <c r="H469" t="n">
        <v>0</v>
      </c>
      <c r="I469" t="n">
        <v>0</v>
      </c>
      <c r="J469" t="n">
        <v>0</v>
      </c>
      <c r="K469" t="n">
        <v>0</v>
      </c>
      <c r="L469" t="n">
        <v>0</v>
      </c>
      <c r="M469" t="n">
        <v>0</v>
      </c>
      <c r="N469" t="n">
        <v>0</v>
      </c>
      <c r="O469" t="n">
        <v>0</v>
      </c>
      <c r="P469" t="n">
        <v>0</v>
      </c>
      <c r="Q469" t="n">
        <v>0</v>
      </c>
      <c r="R469" s="2" t="inlineStr"/>
    </row>
    <row r="470" ht="15" customHeight="1">
      <c r="A470" t="inlineStr">
        <is>
          <t>A 71288-2021</t>
        </is>
      </c>
      <c r="B470" s="1" t="n">
        <v>44539.62481481482</v>
      </c>
      <c r="C470" s="1" t="n">
        <v>46041</v>
      </c>
      <c r="D470" t="inlineStr">
        <is>
          <t>ÖREBRO LÄN</t>
        </is>
      </c>
      <c r="E470" t="inlineStr">
        <is>
          <t>ÖREBRO</t>
        </is>
      </c>
      <c r="G470" t="n">
        <v>3.9</v>
      </c>
      <c r="H470" t="n">
        <v>0</v>
      </c>
      <c r="I470" t="n">
        <v>0</v>
      </c>
      <c r="J470" t="n">
        <v>0</v>
      </c>
      <c r="K470" t="n">
        <v>0</v>
      </c>
      <c r="L470" t="n">
        <v>0</v>
      </c>
      <c r="M470" t="n">
        <v>0</v>
      </c>
      <c r="N470" t="n">
        <v>0</v>
      </c>
      <c r="O470" t="n">
        <v>0</v>
      </c>
      <c r="P470" t="n">
        <v>0</v>
      </c>
      <c r="Q470" t="n">
        <v>0</v>
      </c>
      <c r="R470" s="2" t="inlineStr"/>
    </row>
    <row r="471" ht="15" customHeight="1">
      <c r="A471" t="inlineStr">
        <is>
          <t>A 10830-2023</t>
        </is>
      </c>
      <c r="B471" s="1" t="n">
        <v>44990.89752314815</v>
      </c>
      <c r="C471" s="1" t="n">
        <v>46041</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7692-2023</t>
        </is>
      </c>
      <c r="B472" s="1" t="n">
        <v>44972.7762962963</v>
      </c>
      <c r="C472" s="1" t="n">
        <v>46041</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13355-2023</t>
        </is>
      </c>
      <c r="B473" s="1" t="n">
        <v>45004</v>
      </c>
      <c r="C473" s="1" t="n">
        <v>46041</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46041</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31240-2023</t>
        </is>
      </c>
      <c r="B475" s="1" t="n">
        <v>45114</v>
      </c>
      <c r="C475" s="1" t="n">
        <v>46041</v>
      </c>
      <c r="D475" t="inlineStr">
        <is>
          <t>ÖREBRO LÄN</t>
        </is>
      </c>
      <c r="E475" t="inlineStr">
        <is>
          <t>ÖREBRO</t>
        </is>
      </c>
      <c r="F475" t="inlineStr">
        <is>
          <t>Allmännings- och besparingsskogar</t>
        </is>
      </c>
      <c r="G475" t="n">
        <v>6.2</v>
      </c>
      <c r="H475" t="n">
        <v>0</v>
      </c>
      <c r="I475" t="n">
        <v>0</v>
      </c>
      <c r="J475" t="n">
        <v>0</v>
      </c>
      <c r="K475" t="n">
        <v>0</v>
      </c>
      <c r="L475" t="n">
        <v>0</v>
      </c>
      <c r="M475" t="n">
        <v>0</v>
      </c>
      <c r="N475" t="n">
        <v>0</v>
      </c>
      <c r="O475" t="n">
        <v>0</v>
      </c>
      <c r="P475" t="n">
        <v>0</v>
      </c>
      <c r="Q475" t="n">
        <v>0</v>
      </c>
      <c r="R475" s="2" t="inlineStr"/>
    </row>
    <row r="476" ht="15" customHeight="1">
      <c r="A476" t="inlineStr">
        <is>
          <t>A 56040-2024</t>
        </is>
      </c>
      <c r="B476" s="1" t="n">
        <v>45624.3344212963</v>
      </c>
      <c r="C476" s="1" t="n">
        <v>46041</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52444-2024</t>
        </is>
      </c>
      <c r="B477" s="1" t="n">
        <v>45609.48894675926</v>
      </c>
      <c r="C477" s="1" t="n">
        <v>46041</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60128-2023</t>
        </is>
      </c>
      <c r="B478" s="1" t="n">
        <v>45258</v>
      </c>
      <c r="C478" s="1" t="n">
        <v>46041</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50026-2024</t>
        </is>
      </c>
      <c r="B479" s="1" t="n">
        <v>45599.60541666667</v>
      </c>
      <c r="C479" s="1" t="n">
        <v>46041</v>
      </c>
      <c r="D479" t="inlineStr">
        <is>
          <t>ÖREBRO LÄN</t>
        </is>
      </c>
      <c r="E479" t="inlineStr">
        <is>
          <t>ÖREBRO</t>
        </is>
      </c>
      <c r="G479" t="n">
        <v>2.2</v>
      </c>
      <c r="H479" t="n">
        <v>0</v>
      </c>
      <c r="I479" t="n">
        <v>0</v>
      </c>
      <c r="J479" t="n">
        <v>0</v>
      </c>
      <c r="K479" t="n">
        <v>0</v>
      </c>
      <c r="L479" t="n">
        <v>0</v>
      </c>
      <c r="M479" t="n">
        <v>0</v>
      </c>
      <c r="N479" t="n">
        <v>0</v>
      </c>
      <c r="O479" t="n">
        <v>0</v>
      </c>
      <c r="P479" t="n">
        <v>0</v>
      </c>
      <c r="Q479" t="n">
        <v>0</v>
      </c>
      <c r="R479" s="2" t="inlineStr"/>
    </row>
    <row r="480" ht="15" customHeight="1">
      <c r="A480" t="inlineStr">
        <is>
          <t>A 16140-2023</t>
        </is>
      </c>
      <c r="B480" s="1" t="n">
        <v>45027.6433912037</v>
      </c>
      <c r="C480" s="1" t="n">
        <v>46041</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18449-2023</t>
        </is>
      </c>
      <c r="B481" s="1" t="n">
        <v>45042.5203125</v>
      </c>
      <c r="C481" s="1" t="n">
        <v>46041</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16936-2023</t>
        </is>
      </c>
      <c r="B482" s="1" t="n">
        <v>45033.63005787037</v>
      </c>
      <c r="C482" s="1" t="n">
        <v>46041</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58145-2024</t>
        </is>
      </c>
      <c r="B483" s="1" t="n">
        <v>45632.43230324074</v>
      </c>
      <c r="C483" s="1" t="n">
        <v>46041</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46041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6752-2022</t>
        </is>
      </c>
      <c r="B485" s="1" t="n">
        <v>44602.48082175926</v>
      </c>
      <c r="C485" s="1" t="n">
        <v>46041</v>
      </c>
      <c r="D485" t="inlineStr">
        <is>
          <t>ÖREBRO LÄN</t>
        </is>
      </c>
      <c r="E485" t="inlineStr">
        <is>
          <t>ÖREBRO</t>
        </is>
      </c>
      <c r="G485" t="n">
        <v>3.1</v>
      </c>
      <c r="H485" t="n">
        <v>0</v>
      </c>
      <c r="I485" t="n">
        <v>0</v>
      </c>
      <c r="J485" t="n">
        <v>0</v>
      </c>
      <c r="K485" t="n">
        <v>0</v>
      </c>
      <c r="L485" t="n">
        <v>0</v>
      </c>
      <c r="M485" t="n">
        <v>0</v>
      </c>
      <c r="N485" t="n">
        <v>0</v>
      </c>
      <c r="O485" t="n">
        <v>0</v>
      </c>
      <c r="P485" t="n">
        <v>0</v>
      </c>
      <c r="Q485" t="n">
        <v>0</v>
      </c>
      <c r="R485" s="2" t="inlineStr"/>
    </row>
    <row r="486" ht="15" customHeight="1">
      <c r="A486" t="inlineStr">
        <is>
          <t>A 34056-2023</t>
        </is>
      </c>
      <c r="B486" s="1" t="n">
        <v>45135</v>
      </c>
      <c r="C486" s="1" t="n">
        <v>46041</v>
      </c>
      <c r="D486" t="inlineStr">
        <is>
          <t>ÖREBRO LÄN</t>
        </is>
      </c>
      <c r="E486" t="inlineStr">
        <is>
          <t>ÖREBRO</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44284-2022</t>
        </is>
      </c>
      <c r="B487" s="1" t="n">
        <v>44839.59194444444</v>
      </c>
      <c r="C487" s="1" t="n">
        <v>46041</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33457-2023</t>
        </is>
      </c>
      <c r="B488" s="1" t="n">
        <v>45131</v>
      </c>
      <c r="C488" s="1" t="n">
        <v>46041</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45237-2023</t>
        </is>
      </c>
      <c r="B489" s="1" t="n">
        <v>45191</v>
      </c>
      <c r="C489" s="1" t="n">
        <v>46041</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5946-2021</t>
        </is>
      </c>
      <c r="B490" s="1" t="n">
        <v>44230</v>
      </c>
      <c r="C490" s="1" t="n">
        <v>46041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51180-2023</t>
        </is>
      </c>
      <c r="B491" s="1" t="n">
        <v>45219</v>
      </c>
      <c r="C491" s="1" t="n">
        <v>46041</v>
      </c>
      <c r="D491" t="inlineStr">
        <is>
          <t>ÖREBRO LÄN</t>
        </is>
      </c>
      <c r="E491" t="inlineStr">
        <is>
          <t>ÖREBRO</t>
        </is>
      </c>
      <c r="G491" t="n">
        <v>6.5</v>
      </c>
      <c r="H491" t="n">
        <v>0</v>
      </c>
      <c r="I491" t="n">
        <v>0</v>
      </c>
      <c r="J491" t="n">
        <v>0</v>
      </c>
      <c r="K491" t="n">
        <v>0</v>
      </c>
      <c r="L491" t="n">
        <v>0</v>
      </c>
      <c r="M491" t="n">
        <v>0</v>
      </c>
      <c r="N491" t="n">
        <v>0</v>
      </c>
      <c r="O491" t="n">
        <v>0</v>
      </c>
      <c r="P491" t="n">
        <v>0</v>
      </c>
      <c r="Q491" t="n">
        <v>0</v>
      </c>
      <c r="R491" s="2" t="inlineStr"/>
    </row>
    <row r="492" ht="15" customHeight="1">
      <c r="A492" t="inlineStr">
        <is>
          <t>A 14544-2023</t>
        </is>
      </c>
      <c r="B492" s="1" t="n">
        <v>45013</v>
      </c>
      <c r="C492" s="1" t="n">
        <v>46041</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60028-2024</t>
        </is>
      </c>
      <c r="B493" s="1" t="n">
        <v>45642</v>
      </c>
      <c r="C493" s="1" t="n">
        <v>46041</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33294-2023</t>
        </is>
      </c>
      <c r="B494" s="1" t="n">
        <v>45127</v>
      </c>
      <c r="C494" s="1" t="n">
        <v>46041</v>
      </c>
      <c r="D494" t="inlineStr">
        <is>
          <t>ÖREBRO LÄN</t>
        </is>
      </c>
      <c r="E494" t="inlineStr">
        <is>
          <t>ÖREBRO</t>
        </is>
      </c>
      <c r="F494" t="inlineStr">
        <is>
          <t>Övriga Aktiebolag</t>
        </is>
      </c>
      <c r="G494" t="n">
        <v>6.7</v>
      </c>
      <c r="H494" t="n">
        <v>0</v>
      </c>
      <c r="I494" t="n">
        <v>0</v>
      </c>
      <c r="J494" t="n">
        <v>0</v>
      </c>
      <c r="K494" t="n">
        <v>0</v>
      </c>
      <c r="L494" t="n">
        <v>0</v>
      </c>
      <c r="M494" t="n">
        <v>0</v>
      </c>
      <c r="N494" t="n">
        <v>0</v>
      </c>
      <c r="O494" t="n">
        <v>0</v>
      </c>
      <c r="P494" t="n">
        <v>0</v>
      </c>
      <c r="Q494" t="n">
        <v>0</v>
      </c>
      <c r="R494" s="2" t="inlineStr"/>
    </row>
    <row r="495" ht="15" customHeight="1">
      <c r="A495" t="inlineStr">
        <is>
          <t>A 15682-2023</t>
        </is>
      </c>
      <c r="B495" s="1" t="n">
        <v>45021</v>
      </c>
      <c r="C495" s="1" t="n">
        <v>46041</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4416-2023</t>
        </is>
      </c>
      <c r="B496" s="1" t="n">
        <v>44956</v>
      </c>
      <c r="C496" s="1" t="n">
        <v>46041</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46041</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49062-2023</t>
        </is>
      </c>
      <c r="B498" s="1" t="n">
        <v>45210.35119212963</v>
      </c>
      <c r="C498" s="1" t="n">
        <v>46041</v>
      </c>
      <c r="D498" t="inlineStr">
        <is>
          <t>ÖREBRO LÄN</t>
        </is>
      </c>
      <c r="E498" t="inlineStr">
        <is>
          <t>ÖREBRO</t>
        </is>
      </c>
      <c r="G498" t="n">
        <v>1.6</v>
      </c>
      <c r="H498" t="n">
        <v>0</v>
      </c>
      <c r="I498" t="n">
        <v>0</v>
      </c>
      <c r="J498" t="n">
        <v>0</v>
      </c>
      <c r="K498" t="n">
        <v>0</v>
      </c>
      <c r="L498" t="n">
        <v>0</v>
      </c>
      <c r="M498" t="n">
        <v>0</v>
      </c>
      <c r="N498" t="n">
        <v>0</v>
      </c>
      <c r="O498" t="n">
        <v>0</v>
      </c>
      <c r="P498" t="n">
        <v>0</v>
      </c>
      <c r="Q498" t="n">
        <v>0</v>
      </c>
      <c r="R498" s="2" t="inlineStr"/>
    </row>
    <row r="499" ht="15" customHeight="1">
      <c r="A499" t="inlineStr">
        <is>
          <t>A 61078-2024</t>
        </is>
      </c>
      <c r="B499" s="1" t="n">
        <v>45645.51034722223</v>
      </c>
      <c r="C499" s="1" t="n">
        <v>46041</v>
      </c>
      <c r="D499" t="inlineStr">
        <is>
          <t>ÖREBRO LÄN</t>
        </is>
      </c>
      <c r="E499" t="inlineStr">
        <is>
          <t>ÖREBRO</t>
        </is>
      </c>
      <c r="G499" t="n">
        <v>4.1</v>
      </c>
      <c r="H499" t="n">
        <v>0</v>
      </c>
      <c r="I499" t="n">
        <v>0</v>
      </c>
      <c r="J499" t="n">
        <v>0</v>
      </c>
      <c r="K499" t="n">
        <v>0</v>
      </c>
      <c r="L499" t="n">
        <v>0</v>
      </c>
      <c r="M499" t="n">
        <v>0</v>
      </c>
      <c r="N499" t="n">
        <v>0</v>
      </c>
      <c r="O499" t="n">
        <v>0</v>
      </c>
      <c r="P499" t="n">
        <v>0</v>
      </c>
      <c r="Q499" t="n">
        <v>0</v>
      </c>
      <c r="R499" s="2" t="inlineStr"/>
    </row>
    <row r="500" ht="15" customHeight="1">
      <c r="A500" t="inlineStr">
        <is>
          <t>A 12871-2021</t>
        </is>
      </c>
      <c r="B500" s="1" t="n">
        <v>44271.42121527778</v>
      </c>
      <c r="C500" s="1" t="n">
        <v>46041</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13158-2024</t>
        </is>
      </c>
      <c r="B501" s="1" t="n">
        <v>45386.38728009259</v>
      </c>
      <c r="C501" s="1" t="n">
        <v>46041</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32321-2023</t>
        </is>
      </c>
      <c r="B502" s="1" t="n">
        <v>45120</v>
      </c>
      <c r="C502" s="1" t="n">
        <v>46041</v>
      </c>
      <c r="D502" t="inlineStr">
        <is>
          <t>ÖREBRO LÄN</t>
        </is>
      </c>
      <c r="E502" t="inlineStr">
        <is>
          <t>ÖREBRO</t>
        </is>
      </c>
      <c r="G502" t="n">
        <v>3.4</v>
      </c>
      <c r="H502" t="n">
        <v>0</v>
      </c>
      <c r="I502" t="n">
        <v>0</v>
      </c>
      <c r="J502" t="n">
        <v>0</v>
      </c>
      <c r="K502" t="n">
        <v>0</v>
      </c>
      <c r="L502" t="n">
        <v>0</v>
      </c>
      <c r="M502" t="n">
        <v>0</v>
      </c>
      <c r="N502" t="n">
        <v>0</v>
      </c>
      <c r="O502" t="n">
        <v>0</v>
      </c>
      <c r="P502" t="n">
        <v>0</v>
      </c>
      <c r="Q502" t="n">
        <v>0</v>
      </c>
      <c r="R502" s="2" t="inlineStr"/>
    </row>
    <row r="503" ht="15" customHeight="1">
      <c r="A503" t="inlineStr">
        <is>
          <t>A 13181-2023</t>
        </is>
      </c>
      <c r="B503" s="1" t="n">
        <v>45002.60659722222</v>
      </c>
      <c r="C503" s="1" t="n">
        <v>46041</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25996-2024</t>
        </is>
      </c>
      <c r="B504" s="1" t="n">
        <v>45467.89081018518</v>
      </c>
      <c r="C504" s="1" t="n">
        <v>46041</v>
      </c>
      <c r="D504" t="inlineStr">
        <is>
          <t>ÖREBRO LÄN</t>
        </is>
      </c>
      <c r="E504" t="inlineStr">
        <is>
          <t>ÖREBRO</t>
        </is>
      </c>
      <c r="G504" t="n">
        <v>4.7</v>
      </c>
      <c r="H504" t="n">
        <v>0</v>
      </c>
      <c r="I504" t="n">
        <v>0</v>
      </c>
      <c r="J504" t="n">
        <v>0</v>
      </c>
      <c r="K504" t="n">
        <v>0</v>
      </c>
      <c r="L504" t="n">
        <v>0</v>
      </c>
      <c r="M504" t="n">
        <v>0</v>
      </c>
      <c r="N504" t="n">
        <v>0</v>
      </c>
      <c r="O504" t="n">
        <v>0</v>
      </c>
      <c r="P504" t="n">
        <v>0</v>
      </c>
      <c r="Q504" t="n">
        <v>0</v>
      </c>
      <c r="R504" s="2" t="inlineStr"/>
    </row>
    <row r="505" ht="15" customHeight="1">
      <c r="A505" t="inlineStr">
        <is>
          <t>A 16676-2025</t>
        </is>
      </c>
      <c r="B505" s="1" t="n">
        <v>45754.44658564815</v>
      </c>
      <c r="C505" s="1" t="n">
        <v>46041</v>
      </c>
      <c r="D505" t="inlineStr">
        <is>
          <t>ÖREBRO LÄN</t>
        </is>
      </c>
      <c r="E505" t="inlineStr">
        <is>
          <t>ÖREBRO</t>
        </is>
      </c>
      <c r="G505" t="n">
        <v>5.8</v>
      </c>
      <c r="H505" t="n">
        <v>0</v>
      </c>
      <c r="I505" t="n">
        <v>0</v>
      </c>
      <c r="J505" t="n">
        <v>0</v>
      </c>
      <c r="K505" t="n">
        <v>0</v>
      </c>
      <c r="L505" t="n">
        <v>0</v>
      </c>
      <c r="M505" t="n">
        <v>0</v>
      </c>
      <c r="N505" t="n">
        <v>0</v>
      </c>
      <c r="O505" t="n">
        <v>0</v>
      </c>
      <c r="P505" t="n">
        <v>0</v>
      </c>
      <c r="Q505" t="n">
        <v>0</v>
      </c>
      <c r="R505" s="2" t="inlineStr"/>
    </row>
    <row r="506" ht="15" customHeight="1">
      <c r="A506" t="inlineStr">
        <is>
          <t>A 23741-2022</t>
        </is>
      </c>
      <c r="B506" s="1" t="n">
        <v>44722</v>
      </c>
      <c r="C506" s="1" t="n">
        <v>46041</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8274-2025</t>
        </is>
      </c>
      <c r="B507" s="1" t="n">
        <v>45708</v>
      </c>
      <c r="C507" s="1" t="n">
        <v>46041</v>
      </c>
      <c r="D507" t="inlineStr">
        <is>
          <t>ÖREBRO LÄN</t>
        </is>
      </c>
      <c r="E507" t="inlineStr">
        <is>
          <t>ÖREBRO</t>
        </is>
      </c>
      <c r="G507" t="n">
        <v>5.8</v>
      </c>
      <c r="H507" t="n">
        <v>0</v>
      </c>
      <c r="I507" t="n">
        <v>0</v>
      </c>
      <c r="J507" t="n">
        <v>0</v>
      </c>
      <c r="K507" t="n">
        <v>0</v>
      </c>
      <c r="L507" t="n">
        <v>0</v>
      </c>
      <c r="M507" t="n">
        <v>0</v>
      </c>
      <c r="N507" t="n">
        <v>0</v>
      </c>
      <c r="O507" t="n">
        <v>0</v>
      </c>
      <c r="P507" t="n">
        <v>0</v>
      </c>
      <c r="Q507" t="n">
        <v>0</v>
      </c>
      <c r="R507" s="2" t="inlineStr"/>
    </row>
    <row r="508" ht="15" customHeight="1">
      <c r="A508" t="inlineStr">
        <is>
          <t>A 58620-2024</t>
        </is>
      </c>
      <c r="B508" s="1" t="n">
        <v>45635.56246527778</v>
      </c>
      <c r="C508" s="1" t="n">
        <v>46041</v>
      </c>
      <c r="D508" t="inlineStr">
        <is>
          <t>ÖREBRO LÄN</t>
        </is>
      </c>
      <c r="E508" t="inlineStr">
        <is>
          <t>ÖREBRO</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2095-2025</t>
        </is>
      </c>
      <c r="B509" s="1" t="n">
        <v>45672</v>
      </c>
      <c r="C509" s="1" t="n">
        <v>46041</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71275-2021</t>
        </is>
      </c>
      <c r="B510" s="1" t="n">
        <v>44539</v>
      </c>
      <c r="C510" s="1" t="n">
        <v>46041</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58608-2024</t>
        </is>
      </c>
      <c r="B511" s="1" t="n">
        <v>45635.55185185185</v>
      </c>
      <c r="C511" s="1" t="n">
        <v>46041</v>
      </c>
      <c r="D511" t="inlineStr">
        <is>
          <t>ÖREBRO LÄN</t>
        </is>
      </c>
      <c r="E511" t="inlineStr">
        <is>
          <t>ÖREBRO</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2153-2023</t>
        </is>
      </c>
      <c r="B512" s="1" t="n">
        <v>44941</v>
      </c>
      <c r="C512" s="1" t="n">
        <v>46041</v>
      </c>
      <c r="D512" t="inlineStr">
        <is>
          <t>ÖREBRO LÄN</t>
        </is>
      </c>
      <c r="E512" t="inlineStr">
        <is>
          <t>ÖREBRO</t>
        </is>
      </c>
      <c r="G512" t="n">
        <v>6.3</v>
      </c>
      <c r="H512" t="n">
        <v>0</v>
      </c>
      <c r="I512" t="n">
        <v>0</v>
      </c>
      <c r="J512" t="n">
        <v>0</v>
      </c>
      <c r="K512" t="n">
        <v>0</v>
      </c>
      <c r="L512" t="n">
        <v>0</v>
      </c>
      <c r="M512" t="n">
        <v>0</v>
      </c>
      <c r="N512" t="n">
        <v>0</v>
      </c>
      <c r="O512" t="n">
        <v>0</v>
      </c>
      <c r="P512" t="n">
        <v>0</v>
      </c>
      <c r="Q512" t="n">
        <v>0</v>
      </c>
      <c r="R512" s="2" t="inlineStr"/>
    </row>
    <row r="513" ht="15" customHeight="1">
      <c r="A513" t="inlineStr">
        <is>
          <t>A 7141-2025</t>
        </is>
      </c>
      <c r="B513" s="1" t="n">
        <v>45702</v>
      </c>
      <c r="C513" s="1" t="n">
        <v>46041</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59024-2024</t>
        </is>
      </c>
      <c r="B514" s="1" t="n">
        <v>45636.68505787037</v>
      </c>
      <c r="C514" s="1" t="n">
        <v>46041</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13657-2025</t>
        </is>
      </c>
      <c r="B515" s="1" t="n">
        <v>45736.7427662037</v>
      </c>
      <c r="C515" s="1" t="n">
        <v>46041</v>
      </c>
      <c r="D515" t="inlineStr">
        <is>
          <t>ÖREBRO LÄN</t>
        </is>
      </c>
      <c r="E515" t="inlineStr">
        <is>
          <t>ÖREBRO</t>
        </is>
      </c>
      <c r="G515" t="n">
        <v>3.8</v>
      </c>
      <c r="H515" t="n">
        <v>0</v>
      </c>
      <c r="I515" t="n">
        <v>0</v>
      </c>
      <c r="J515" t="n">
        <v>0</v>
      </c>
      <c r="K515" t="n">
        <v>0</v>
      </c>
      <c r="L515" t="n">
        <v>0</v>
      </c>
      <c r="M515" t="n">
        <v>0</v>
      </c>
      <c r="N515" t="n">
        <v>0</v>
      </c>
      <c r="O515" t="n">
        <v>0</v>
      </c>
      <c r="P515" t="n">
        <v>0</v>
      </c>
      <c r="Q515" t="n">
        <v>0</v>
      </c>
      <c r="R515" s="2" t="inlineStr"/>
    </row>
    <row r="516" ht="15" customHeight="1">
      <c r="A516" t="inlineStr">
        <is>
          <t>A 57867-2024</t>
        </is>
      </c>
      <c r="B516" s="1" t="n">
        <v>45631.43864583333</v>
      </c>
      <c r="C516" s="1" t="n">
        <v>46041</v>
      </c>
      <c r="D516" t="inlineStr">
        <is>
          <t>ÖREBRO LÄN</t>
        </is>
      </c>
      <c r="E516" t="inlineStr">
        <is>
          <t>ÖREBRO</t>
        </is>
      </c>
      <c r="G516" t="n">
        <v>1.5</v>
      </c>
      <c r="H516" t="n">
        <v>0</v>
      </c>
      <c r="I516" t="n">
        <v>0</v>
      </c>
      <c r="J516" t="n">
        <v>0</v>
      </c>
      <c r="K516" t="n">
        <v>0</v>
      </c>
      <c r="L516" t="n">
        <v>0</v>
      </c>
      <c r="M516" t="n">
        <v>0</v>
      </c>
      <c r="N516" t="n">
        <v>0</v>
      </c>
      <c r="O516" t="n">
        <v>0</v>
      </c>
      <c r="P516" t="n">
        <v>0</v>
      </c>
      <c r="Q516" t="n">
        <v>0</v>
      </c>
      <c r="R516" s="2" t="inlineStr"/>
    </row>
    <row r="517" ht="15" customHeight="1">
      <c r="A517" t="inlineStr">
        <is>
          <t>A 29138-2022</t>
        </is>
      </c>
      <c r="B517" s="1" t="n">
        <v>44750</v>
      </c>
      <c r="C517" s="1" t="n">
        <v>46041</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29143-2022</t>
        </is>
      </c>
      <c r="B518" s="1" t="n">
        <v>44750</v>
      </c>
      <c r="C518" s="1" t="n">
        <v>46041</v>
      </c>
      <c r="D518" t="inlineStr">
        <is>
          <t>ÖREBRO LÄN</t>
        </is>
      </c>
      <c r="E518" t="inlineStr">
        <is>
          <t>ÖREBRO</t>
        </is>
      </c>
      <c r="G518" t="n">
        <v>5.6</v>
      </c>
      <c r="H518" t="n">
        <v>0</v>
      </c>
      <c r="I518" t="n">
        <v>0</v>
      </c>
      <c r="J518" t="n">
        <v>0</v>
      </c>
      <c r="K518" t="n">
        <v>0</v>
      </c>
      <c r="L518" t="n">
        <v>0</v>
      </c>
      <c r="M518" t="n">
        <v>0</v>
      </c>
      <c r="N518" t="n">
        <v>0</v>
      </c>
      <c r="O518" t="n">
        <v>0</v>
      </c>
      <c r="P518" t="n">
        <v>0</v>
      </c>
      <c r="Q518" t="n">
        <v>0</v>
      </c>
      <c r="R518" s="2" t="inlineStr"/>
    </row>
    <row r="519" ht="15" customHeight="1">
      <c r="A519" t="inlineStr">
        <is>
          <t>A 2069-2025</t>
        </is>
      </c>
      <c r="B519" s="1" t="n">
        <v>45672.56614583333</v>
      </c>
      <c r="C519" s="1" t="n">
        <v>46041</v>
      </c>
      <c r="D519" t="inlineStr">
        <is>
          <t>ÖREBRO LÄN</t>
        </is>
      </c>
      <c r="E519" t="inlineStr">
        <is>
          <t>ÖREBRO</t>
        </is>
      </c>
      <c r="G519" t="n">
        <v>3.8</v>
      </c>
      <c r="H519" t="n">
        <v>0</v>
      </c>
      <c r="I519" t="n">
        <v>0</v>
      </c>
      <c r="J519" t="n">
        <v>0</v>
      </c>
      <c r="K519" t="n">
        <v>0</v>
      </c>
      <c r="L519" t="n">
        <v>0</v>
      </c>
      <c r="M519" t="n">
        <v>0</v>
      </c>
      <c r="N519" t="n">
        <v>0</v>
      </c>
      <c r="O519" t="n">
        <v>0</v>
      </c>
      <c r="P519" t="n">
        <v>0</v>
      </c>
      <c r="Q519" t="n">
        <v>0</v>
      </c>
      <c r="R519" s="2" t="inlineStr"/>
    </row>
    <row r="520" ht="15" customHeight="1">
      <c r="A520" t="inlineStr">
        <is>
          <t>A 852-2025</t>
        </is>
      </c>
      <c r="B520" s="1" t="n">
        <v>45665.60148148148</v>
      </c>
      <c r="C520" s="1" t="n">
        <v>46041</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50398-2022</t>
        </is>
      </c>
      <c r="B521" s="1" t="n">
        <v>44861</v>
      </c>
      <c r="C521" s="1" t="n">
        <v>46041</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52441-2024</t>
        </is>
      </c>
      <c r="B522" s="1" t="n">
        <v>45609.48451388889</v>
      </c>
      <c r="C522" s="1" t="n">
        <v>46041</v>
      </c>
      <c r="D522" t="inlineStr">
        <is>
          <t>ÖREBRO LÄN</t>
        </is>
      </c>
      <c r="E522" t="inlineStr">
        <is>
          <t>ÖREBRO</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52499-2024</t>
        </is>
      </c>
      <c r="B523" s="1" t="n">
        <v>45609.58422453704</v>
      </c>
      <c r="C523" s="1" t="n">
        <v>46041</v>
      </c>
      <c r="D523" t="inlineStr">
        <is>
          <t>ÖREBRO LÄN</t>
        </is>
      </c>
      <c r="E523" t="inlineStr">
        <is>
          <t>ÖREBRO</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21983-2021</t>
        </is>
      </c>
      <c r="B524" s="1" t="n">
        <v>44323</v>
      </c>
      <c r="C524" s="1" t="n">
        <v>46041</v>
      </c>
      <c r="D524" t="inlineStr">
        <is>
          <t>ÖREBRO LÄN</t>
        </is>
      </c>
      <c r="E524" t="inlineStr">
        <is>
          <t>ÖREBRO</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8008-2024</t>
        </is>
      </c>
      <c r="B525" s="1" t="n">
        <v>45350.6794212963</v>
      </c>
      <c r="C525" s="1" t="n">
        <v>46041</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18181-2024</t>
        </is>
      </c>
      <c r="B526" s="1" t="n">
        <v>45420.64561342593</v>
      </c>
      <c r="C526" s="1" t="n">
        <v>46041</v>
      </c>
      <c r="D526" t="inlineStr">
        <is>
          <t>ÖREBRO LÄN</t>
        </is>
      </c>
      <c r="E526" t="inlineStr">
        <is>
          <t>ÖREBRO</t>
        </is>
      </c>
      <c r="G526" t="n">
        <v>7.6</v>
      </c>
      <c r="H526" t="n">
        <v>0</v>
      </c>
      <c r="I526" t="n">
        <v>0</v>
      </c>
      <c r="J526" t="n">
        <v>0</v>
      </c>
      <c r="K526" t="n">
        <v>0</v>
      </c>
      <c r="L526" t="n">
        <v>0</v>
      </c>
      <c r="M526" t="n">
        <v>0</v>
      </c>
      <c r="N526" t="n">
        <v>0</v>
      </c>
      <c r="O526" t="n">
        <v>0</v>
      </c>
      <c r="P526" t="n">
        <v>0</v>
      </c>
      <c r="Q526" t="n">
        <v>0</v>
      </c>
      <c r="R526" s="2" t="inlineStr"/>
    </row>
    <row r="527" ht="15" customHeight="1">
      <c r="A527" t="inlineStr">
        <is>
          <t>A 3120-2022</t>
        </is>
      </c>
      <c r="B527" s="1" t="n">
        <v>44582</v>
      </c>
      <c r="C527" s="1" t="n">
        <v>46041</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58606-2024</t>
        </is>
      </c>
      <c r="B528" s="1" t="n">
        <v>45635.54747685185</v>
      </c>
      <c r="C528" s="1" t="n">
        <v>46041</v>
      </c>
      <c r="D528" t="inlineStr">
        <is>
          <t>ÖREBRO LÄN</t>
        </is>
      </c>
      <c r="E528" t="inlineStr">
        <is>
          <t>ÖREBRO</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38415-2023</t>
        </is>
      </c>
      <c r="B529" s="1" t="n">
        <v>45162.35502314815</v>
      </c>
      <c r="C529" s="1" t="n">
        <v>46041</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16374-2022</t>
        </is>
      </c>
      <c r="B530" s="1" t="n">
        <v>44671</v>
      </c>
      <c r="C530" s="1" t="n">
        <v>46041</v>
      </c>
      <c r="D530" t="inlineStr">
        <is>
          <t>ÖREBRO LÄN</t>
        </is>
      </c>
      <c r="E530" t="inlineStr">
        <is>
          <t>ÖREBRO</t>
        </is>
      </c>
      <c r="F530" t="inlineStr">
        <is>
          <t>Övriga Aktiebolag</t>
        </is>
      </c>
      <c r="G530" t="n">
        <v>30.3</v>
      </c>
      <c r="H530" t="n">
        <v>0</v>
      </c>
      <c r="I530" t="n">
        <v>0</v>
      </c>
      <c r="J530" t="n">
        <v>0</v>
      </c>
      <c r="K530" t="n">
        <v>0</v>
      </c>
      <c r="L530" t="n">
        <v>0</v>
      </c>
      <c r="M530" t="n">
        <v>0</v>
      </c>
      <c r="N530" t="n">
        <v>0</v>
      </c>
      <c r="O530" t="n">
        <v>0</v>
      </c>
      <c r="P530" t="n">
        <v>0</v>
      </c>
      <c r="Q530" t="n">
        <v>0</v>
      </c>
      <c r="R530" s="2" t="inlineStr"/>
    </row>
    <row r="531" ht="15" customHeight="1">
      <c r="A531" t="inlineStr">
        <is>
          <t>A 26101-2022</t>
        </is>
      </c>
      <c r="B531" s="1" t="n">
        <v>44734</v>
      </c>
      <c r="C531" s="1" t="n">
        <v>46041</v>
      </c>
      <c r="D531" t="inlineStr">
        <is>
          <t>ÖREBRO LÄN</t>
        </is>
      </c>
      <c r="E531" t="inlineStr">
        <is>
          <t>ÖREBRO</t>
        </is>
      </c>
      <c r="G531" t="n">
        <v>15.8</v>
      </c>
      <c r="H531" t="n">
        <v>0</v>
      </c>
      <c r="I531" t="n">
        <v>0</v>
      </c>
      <c r="J531" t="n">
        <v>0</v>
      </c>
      <c r="K531" t="n">
        <v>0</v>
      </c>
      <c r="L531" t="n">
        <v>0</v>
      </c>
      <c r="M531" t="n">
        <v>0</v>
      </c>
      <c r="N531" t="n">
        <v>0</v>
      </c>
      <c r="O531" t="n">
        <v>0</v>
      </c>
      <c r="P531" t="n">
        <v>0</v>
      </c>
      <c r="Q531" t="n">
        <v>0</v>
      </c>
      <c r="R531" s="2" t="inlineStr"/>
    </row>
    <row r="532" ht="15" customHeight="1">
      <c r="A532" t="inlineStr">
        <is>
          <t>A 9704-2023</t>
        </is>
      </c>
      <c r="B532" s="1" t="n">
        <v>44984</v>
      </c>
      <c r="C532" s="1" t="n">
        <v>46041</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58486-2024</t>
        </is>
      </c>
      <c r="B533" s="1" t="n">
        <v>45635</v>
      </c>
      <c r="C533" s="1" t="n">
        <v>46041</v>
      </c>
      <c r="D533" t="inlineStr">
        <is>
          <t>ÖREBRO LÄN</t>
        </is>
      </c>
      <c r="E533" t="inlineStr">
        <is>
          <t>ÖREBRO</t>
        </is>
      </c>
      <c r="G533" t="n">
        <v>1.7</v>
      </c>
      <c r="H533" t="n">
        <v>0</v>
      </c>
      <c r="I533" t="n">
        <v>0</v>
      </c>
      <c r="J533" t="n">
        <v>0</v>
      </c>
      <c r="K533" t="n">
        <v>0</v>
      </c>
      <c r="L533" t="n">
        <v>0</v>
      </c>
      <c r="M533" t="n">
        <v>0</v>
      </c>
      <c r="N533" t="n">
        <v>0</v>
      </c>
      <c r="O533" t="n">
        <v>0</v>
      </c>
      <c r="P533" t="n">
        <v>0</v>
      </c>
      <c r="Q533" t="n">
        <v>0</v>
      </c>
      <c r="R533" s="2" t="inlineStr"/>
    </row>
    <row r="534" ht="15" customHeight="1">
      <c r="A534" t="inlineStr">
        <is>
          <t>A 14053-2025</t>
        </is>
      </c>
      <c r="B534" s="1" t="n">
        <v>45739</v>
      </c>
      <c r="C534" s="1" t="n">
        <v>46041</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19180-2025</t>
        </is>
      </c>
      <c r="B535" s="1" t="n">
        <v>45769.40133101852</v>
      </c>
      <c r="C535" s="1" t="n">
        <v>46041</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46052-2024</t>
        </is>
      </c>
      <c r="B536" s="1" t="n">
        <v>45580.89116898148</v>
      </c>
      <c r="C536" s="1" t="n">
        <v>46041</v>
      </c>
      <c r="D536" t="inlineStr">
        <is>
          <t>ÖREBRO LÄN</t>
        </is>
      </c>
      <c r="E536" t="inlineStr">
        <is>
          <t>ÖREBRO</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35345-2024</t>
        </is>
      </c>
      <c r="B537" s="1" t="n">
        <v>45530</v>
      </c>
      <c r="C537" s="1" t="n">
        <v>46041</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58527-2024</t>
        </is>
      </c>
      <c r="B538" s="1" t="n">
        <v>45635.44388888889</v>
      </c>
      <c r="C538" s="1" t="n">
        <v>46041</v>
      </c>
      <c r="D538" t="inlineStr">
        <is>
          <t>ÖREBRO LÄN</t>
        </is>
      </c>
      <c r="E538" t="inlineStr">
        <is>
          <t>ÖREBRO</t>
        </is>
      </c>
      <c r="F538" t="inlineStr">
        <is>
          <t>Sveaskog</t>
        </is>
      </c>
      <c r="G538" t="n">
        <v>6.4</v>
      </c>
      <c r="H538" t="n">
        <v>0</v>
      </c>
      <c r="I538" t="n">
        <v>0</v>
      </c>
      <c r="J538" t="n">
        <v>0</v>
      </c>
      <c r="K538" t="n">
        <v>0</v>
      </c>
      <c r="L538" t="n">
        <v>0</v>
      </c>
      <c r="M538" t="n">
        <v>0</v>
      </c>
      <c r="N538" t="n">
        <v>0</v>
      </c>
      <c r="O538" t="n">
        <v>0</v>
      </c>
      <c r="P538" t="n">
        <v>0</v>
      </c>
      <c r="Q538" t="n">
        <v>0</v>
      </c>
      <c r="R538" s="2" t="inlineStr"/>
    </row>
    <row r="539" ht="15" customHeight="1">
      <c r="A539" t="inlineStr">
        <is>
          <t>A 123-2025</t>
        </is>
      </c>
      <c r="B539" s="1" t="n">
        <v>45659.54851851852</v>
      </c>
      <c r="C539" s="1" t="n">
        <v>46041</v>
      </c>
      <c r="D539" t="inlineStr">
        <is>
          <t>ÖREBRO LÄN</t>
        </is>
      </c>
      <c r="E539" t="inlineStr">
        <is>
          <t>ÖREBRO</t>
        </is>
      </c>
      <c r="G539" t="n">
        <v>1.6</v>
      </c>
      <c r="H539" t="n">
        <v>0</v>
      </c>
      <c r="I539" t="n">
        <v>0</v>
      </c>
      <c r="J539" t="n">
        <v>0</v>
      </c>
      <c r="K539" t="n">
        <v>0</v>
      </c>
      <c r="L539" t="n">
        <v>0</v>
      </c>
      <c r="M539" t="n">
        <v>0</v>
      </c>
      <c r="N539" t="n">
        <v>0</v>
      </c>
      <c r="O539" t="n">
        <v>0</v>
      </c>
      <c r="P539" t="n">
        <v>0</v>
      </c>
      <c r="Q539" t="n">
        <v>0</v>
      </c>
      <c r="R539" s="2" t="inlineStr"/>
    </row>
    <row r="540" ht="15" customHeight="1">
      <c r="A540" t="inlineStr">
        <is>
          <t>A 30472-2022</t>
        </is>
      </c>
      <c r="B540" s="1" t="n">
        <v>44761.70467592592</v>
      </c>
      <c r="C540" s="1" t="n">
        <v>46041</v>
      </c>
      <c r="D540" t="inlineStr">
        <is>
          <t>ÖREBRO LÄN</t>
        </is>
      </c>
      <c r="E540" t="inlineStr">
        <is>
          <t>ÖREBRO</t>
        </is>
      </c>
      <c r="F540" t="inlineStr">
        <is>
          <t>Övriga Aktiebolag</t>
        </is>
      </c>
      <c r="G540" t="n">
        <v>5.6</v>
      </c>
      <c r="H540" t="n">
        <v>0</v>
      </c>
      <c r="I540" t="n">
        <v>0</v>
      </c>
      <c r="J540" t="n">
        <v>0</v>
      </c>
      <c r="K540" t="n">
        <v>0</v>
      </c>
      <c r="L540" t="n">
        <v>0</v>
      </c>
      <c r="M540" t="n">
        <v>0</v>
      </c>
      <c r="N540" t="n">
        <v>0</v>
      </c>
      <c r="O540" t="n">
        <v>0</v>
      </c>
      <c r="P540" t="n">
        <v>0</v>
      </c>
      <c r="Q540" t="n">
        <v>0</v>
      </c>
      <c r="R540" s="2" t="inlineStr"/>
    </row>
    <row r="541" ht="15" customHeight="1">
      <c r="A541" t="inlineStr">
        <is>
          <t>A 37022-2024</t>
        </is>
      </c>
      <c r="B541" s="1" t="n">
        <v>45539.3822337963</v>
      </c>
      <c r="C541" s="1" t="n">
        <v>46041</v>
      </c>
      <c r="D541" t="inlineStr">
        <is>
          <t>ÖREBRO LÄN</t>
        </is>
      </c>
      <c r="E541" t="inlineStr">
        <is>
          <t>ÖREBRO</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37024-2024</t>
        </is>
      </c>
      <c r="B542" s="1" t="n">
        <v>45539.38329861111</v>
      </c>
      <c r="C542" s="1" t="n">
        <v>46041</v>
      </c>
      <c r="D542" t="inlineStr">
        <is>
          <t>ÖREBRO LÄN</t>
        </is>
      </c>
      <c r="E542" t="inlineStr">
        <is>
          <t>ÖREBRO</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6869-2025</t>
        </is>
      </c>
      <c r="B543" s="1" t="n">
        <v>45700</v>
      </c>
      <c r="C543" s="1" t="n">
        <v>46041</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46041</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57869-2024</t>
        </is>
      </c>
      <c r="B545" s="1" t="n">
        <v>45631.44207175926</v>
      </c>
      <c r="C545" s="1" t="n">
        <v>46041</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11382-2023</t>
        </is>
      </c>
      <c r="B546" s="1" t="n">
        <v>44993.45635416666</v>
      </c>
      <c r="C546" s="1" t="n">
        <v>46041</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20121-2024</t>
        </is>
      </c>
      <c r="B547" s="1" t="n">
        <v>45434</v>
      </c>
      <c r="C547" s="1" t="n">
        <v>46041</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26117-2021</t>
        </is>
      </c>
      <c r="B548" s="1" t="n">
        <v>44345</v>
      </c>
      <c r="C548" s="1" t="n">
        <v>46041</v>
      </c>
      <c r="D548" t="inlineStr">
        <is>
          <t>ÖREBRO LÄN</t>
        </is>
      </c>
      <c r="E548" t="inlineStr">
        <is>
          <t>ÖREBRO</t>
        </is>
      </c>
      <c r="G548" t="n">
        <v>8.1</v>
      </c>
      <c r="H548" t="n">
        <v>0</v>
      </c>
      <c r="I548" t="n">
        <v>0</v>
      </c>
      <c r="J548" t="n">
        <v>0</v>
      </c>
      <c r="K548" t="n">
        <v>0</v>
      </c>
      <c r="L548" t="n">
        <v>0</v>
      </c>
      <c r="M548" t="n">
        <v>0</v>
      </c>
      <c r="N548" t="n">
        <v>0</v>
      </c>
      <c r="O548" t="n">
        <v>0</v>
      </c>
      <c r="P548" t="n">
        <v>0</v>
      </c>
      <c r="Q548" t="n">
        <v>0</v>
      </c>
      <c r="R548" s="2" t="inlineStr"/>
    </row>
    <row r="549" ht="15" customHeight="1">
      <c r="A549" t="inlineStr">
        <is>
          <t>A 37277-2022</t>
        </is>
      </c>
      <c r="B549" s="1" t="n">
        <v>44807.49150462963</v>
      </c>
      <c r="C549" s="1" t="n">
        <v>46041</v>
      </c>
      <c r="D549" t="inlineStr">
        <is>
          <t>ÖREBRO LÄN</t>
        </is>
      </c>
      <c r="E549" t="inlineStr">
        <is>
          <t>ÖREBRO</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55943-2024</t>
        </is>
      </c>
      <c r="B550" s="1" t="n">
        <v>45623.61278935185</v>
      </c>
      <c r="C550" s="1" t="n">
        <v>46041</v>
      </c>
      <c r="D550" t="inlineStr">
        <is>
          <t>ÖREBRO LÄN</t>
        </is>
      </c>
      <c r="E550" t="inlineStr">
        <is>
          <t>ÖREBRO</t>
        </is>
      </c>
      <c r="G550" t="n">
        <v>4.8</v>
      </c>
      <c r="H550" t="n">
        <v>0</v>
      </c>
      <c r="I550" t="n">
        <v>0</v>
      </c>
      <c r="J550" t="n">
        <v>0</v>
      </c>
      <c r="K550" t="n">
        <v>0</v>
      </c>
      <c r="L550" t="n">
        <v>0</v>
      </c>
      <c r="M550" t="n">
        <v>0</v>
      </c>
      <c r="N550" t="n">
        <v>0</v>
      </c>
      <c r="O550" t="n">
        <v>0</v>
      </c>
      <c r="P550" t="n">
        <v>0</v>
      </c>
      <c r="Q550" t="n">
        <v>0</v>
      </c>
      <c r="R550" s="2" t="inlineStr"/>
    </row>
    <row r="551" ht="15" customHeight="1">
      <c r="A551" t="inlineStr">
        <is>
          <t>A 1013-2024</t>
        </is>
      </c>
      <c r="B551" s="1" t="n">
        <v>45301</v>
      </c>
      <c r="C551" s="1" t="n">
        <v>46041</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27956-2023</t>
        </is>
      </c>
      <c r="B552" s="1" t="n">
        <v>45098</v>
      </c>
      <c r="C552" s="1" t="n">
        <v>46041</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13623-2024</t>
        </is>
      </c>
      <c r="B553" s="1" t="n">
        <v>45390.38626157407</v>
      </c>
      <c r="C553" s="1" t="n">
        <v>46041</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51331-2023</t>
        </is>
      </c>
      <c r="B554" s="1" t="n">
        <v>45219</v>
      </c>
      <c r="C554" s="1" t="n">
        <v>46041</v>
      </c>
      <c r="D554" t="inlineStr">
        <is>
          <t>ÖREBRO LÄN</t>
        </is>
      </c>
      <c r="E554" t="inlineStr">
        <is>
          <t>ÖREBRO</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40588-2021</t>
        </is>
      </c>
      <c r="B555" s="1" t="n">
        <v>44420</v>
      </c>
      <c r="C555" s="1" t="n">
        <v>46041</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5330-2024</t>
        </is>
      </c>
      <c r="B556" s="1" t="n">
        <v>45331.4187962963</v>
      </c>
      <c r="C556" s="1" t="n">
        <v>46041</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40231-2022</t>
        </is>
      </c>
      <c r="B557" s="1" t="n">
        <v>44820</v>
      </c>
      <c r="C557" s="1" t="n">
        <v>46041</v>
      </c>
      <c r="D557" t="inlineStr">
        <is>
          <t>ÖREBRO LÄN</t>
        </is>
      </c>
      <c r="E557" t="inlineStr">
        <is>
          <t>ÖREBRO</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6794-2025</t>
        </is>
      </c>
      <c r="B558" s="1" t="n">
        <v>45700.66429398148</v>
      </c>
      <c r="C558" s="1" t="n">
        <v>46041</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4284-2025</t>
        </is>
      </c>
      <c r="B559" s="1" t="n">
        <v>45685</v>
      </c>
      <c r="C559" s="1" t="n">
        <v>46041</v>
      </c>
      <c r="D559" t="inlineStr">
        <is>
          <t>ÖREBRO LÄN</t>
        </is>
      </c>
      <c r="E559" t="inlineStr">
        <is>
          <t>ÖREBRO</t>
        </is>
      </c>
      <c r="G559" t="n">
        <v>1.7</v>
      </c>
      <c r="H559" t="n">
        <v>0</v>
      </c>
      <c r="I559" t="n">
        <v>0</v>
      </c>
      <c r="J559" t="n">
        <v>0</v>
      </c>
      <c r="K559" t="n">
        <v>0</v>
      </c>
      <c r="L559" t="n">
        <v>0</v>
      </c>
      <c r="M559" t="n">
        <v>0</v>
      </c>
      <c r="N559" t="n">
        <v>0</v>
      </c>
      <c r="O559" t="n">
        <v>0</v>
      </c>
      <c r="P559" t="n">
        <v>0</v>
      </c>
      <c r="Q559" t="n">
        <v>0</v>
      </c>
      <c r="R559" s="2" t="inlineStr"/>
    </row>
    <row r="560" ht="15" customHeight="1">
      <c r="A560" t="inlineStr">
        <is>
          <t>A 8331-2021</t>
        </is>
      </c>
      <c r="B560" s="1" t="n">
        <v>44244</v>
      </c>
      <c r="C560" s="1" t="n">
        <v>46041</v>
      </c>
      <c r="D560" t="inlineStr">
        <is>
          <t>ÖREBRO LÄN</t>
        </is>
      </c>
      <c r="E560" t="inlineStr">
        <is>
          <t>ÖREBRO</t>
        </is>
      </c>
      <c r="G560" t="n">
        <v>9.1</v>
      </c>
      <c r="H560" t="n">
        <v>0</v>
      </c>
      <c r="I560" t="n">
        <v>0</v>
      </c>
      <c r="J560" t="n">
        <v>0</v>
      </c>
      <c r="K560" t="n">
        <v>0</v>
      </c>
      <c r="L560" t="n">
        <v>0</v>
      </c>
      <c r="M560" t="n">
        <v>0</v>
      </c>
      <c r="N560" t="n">
        <v>0</v>
      </c>
      <c r="O560" t="n">
        <v>0</v>
      </c>
      <c r="P560" t="n">
        <v>0</v>
      </c>
      <c r="Q560" t="n">
        <v>0</v>
      </c>
      <c r="R560" s="2" t="inlineStr"/>
    </row>
    <row r="561" ht="15" customHeight="1">
      <c r="A561" t="inlineStr">
        <is>
          <t>A 8332-2021</t>
        </is>
      </c>
      <c r="B561" s="1" t="n">
        <v>44244</v>
      </c>
      <c r="C561" s="1" t="n">
        <v>46041</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25443-2021</t>
        </is>
      </c>
      <c r="B562" s="1" t="n">
        <v>44342</v>
      </c>
      <c r="C562" s="1" t="n">
        <v>46041</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3-2024</t>
        </is>
      </c>
      <c r="B563" s="1" t="n">
        <v>45292</v>
      </c>
      <c r="C563" s="1" t="n">
        <v>46041</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5619-2023</t>
        </is>
      </c>
      <c r="B564" s="1" t="n">
        <v>44958</v>
      </c>
      <c r="C564" s="1" t="n">
        <v>46041</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46041</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5578-2024</t>
        </is>
      </c>
      <c r="B566" s="1" t="n">
        <v>45334.49104166667</v>
      </c>
      <c r="C566" s="1" t="n">
        <v>46041</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3763-2025</t>
        </is>
      </c>
      <c r="B567" s="1" t="n">
        <v>45681</v>
      </c>
      <c r="C567" s="1" t="n">
        <v>46041</v>
      </c>
      <c r="D567" t="inlineStr">
        <is>
          <t>ÖREBRO LÄN</t>
        </is>
      </c>
      <c r="E567" t="inlineStr">
        <is>
          <t>ÖREBRO</t>
        </is>
      </c>
      <c r="G567" t="n">
        <v>10.1</v>
      </c>
      <c r="H567" t="n">
        <v>0</v>
      </c>
      <c r="I567" t="n">
        <v>0</v>
      </c>
      <c r="J567" t="n">
        <v>0</v>
      </c>
      <c r="K567" t="n">
        <v>0</v>
      </c>
      <c r="L567" t="n">
        <v>0</v>
      </c>
      <c r="M567" t="n">
        <v>0</v>
      </c>
      <c r="N567" t="n">
        <v>0</v>
      </c>
      <c r="O567" t="n">
        <v>0</v>
      </c>
      <c r="P567" t="n">
        <v>0</v>
      </c>
      <c r="Q567" t="n">
        <v>0</v>
      </c>
      <c r="R567" s="2" t="inlineStr"/>
    </row>
    <row r="568" ht="15" customHeight="1">
      <c r="A568" t="inlineStr">
        <is>
          <t>A 37786-2024</t>
        </is>
      </c>
      <c r="B568" s="1" t="n">
        <v>45542.82987268519</v>
      </c>
      <c r="C568" s="1" t="n">
        <v>46041</v>
      </c>
      <c r="D568" t="inlineStr">
        <is>
          <t>ÖREBRO LÄN</t>
        </is>
      </c>
      <c r="E568" t="inlineStr">
        <is>
          <t>ÖREBRO</t>
        </is>
      </c>
      <c r="G568" t="n">
        <v>3.1</v>
      </c>
      <c r="H568" t="n">
        <v>0</v>
      </c>
      <c r="I568" t="n">
        <v>0</v>
      </c>
      <c r="J568" t="n">
        <v>0</v>
      </c>
      <c r="K568" t="n">
        <v>0</v>
      </c>
      <c r="L568" t="n">
        <v>0</v>
      </c>
      <c r="M568" t="n">
        <v>0</v>
      </c>
      <c r="N568" t="n">
        <v>0</v>
      </c>
      <c r="O568" t="n">
        <v>0</v>
      </c>
      <c r="P568" t="n">
        <v>0</v>
      </c>
      <c r="Q568" t="n">
        <v>0</v>
      </c>
      <c r="R568" s="2" t="inlineStr"/>
    </row>
    <row r="569" ht="15" customHeight="1">
      <c r="A569" t="inlineStr">
        <is>
          <t>A 58615-2024</t>
        </is>
      </c>
      <c r="B569" s="1" t="n">
        <v>45635.5587037037</v>
      </c>
      <c r="C569" s="1" t="n">
        <v>46041</v>
      </c>
      <c r="D569" t="inlineStr">
        <is>
          <t>ÖREBRO LÄN</t>
        </is>
      </c>
      <c r="E569" t="inlineStr">
        <is>
          <t>ÖREBRO</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45517-2023</t>
        </is>
      </c>
      <c r="B570" s="1" t="n">
        <v>45194.49594907407</v>
      </c>
      <c r="C570" s="1" t="n">
        <v>46041</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3652-2022</t>
        </is>
      </c>
      <c r="B571" s="1" t="n">
        <v>44586.46921296296</v>
      </c>
      <c r="C571" s="1" t="n">
        <v>46041</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25407-2021</t>
        </is>
      </c>
      <c r="B572" s="1" t="n">
        <v>44342</v>
      </c>
      <c r="C572" s="1" t="n">
        <v>46041</v>
      </c>
      <c r="D572" t="inlineStr">
        <is>
          <t>ÖREBRO LÄN</t>
        </is>
      </c>
      <c r="E572" t="inlineStr">
        <is>
          <t>ÖREBRO</t>
        </is>
      </c>
      <c r="F572" t="inlineStr">
        <is>
          <t>Kommuner</t>
        </is>
      </c>
      <c r="G572" t="n">
        <v>7.2</v>
      </c>
      <c r="H572" t="n">
        <v>0</v>
      </c>
      <c r="I572" t="n">
        <v>0</v>
      </c>
      <c r="J572" t="n">
        <v>0</v>
      </c>
      <c r="K572" t="n">
        <v>0</v>
      </c>
      <c r="L572" t="n">
        <v>0</v>
      </c>
      <c r="M572" t="n">
        <v>0</v>
      </c>
      <c r="N572" t="n">
        <v>0</v>
      </c>
      <c r="O572" t="n">
        <v>0</v>
      </c>
      <c r="P572" t="n">
        <v>0</v>
      </c>
      <c r="Q572" t="n">
        <v>0</v>
      </c>
      <c r="R572" s="2" t="inlineStr"/>
    </row>
    <row r="573" ht="15" customHeight="1">
      <c r="A573" t="inlineStr">
        <is>
          <t>A 12245-2023</t>
        </is>
      </c>
      <c r="B573" s="1" t="n">
        <v>44998.64402777778</v>
      </c>
      <c r="C573" s="1" t="n">
        <v>46041</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7134-2025</t>
        </is>
      </c>
      <c r="B574" s="1" t="n">
        <v>45702</v>
      </c>
      <c r="C574" s="1" t="n">
        <v>46041</v>
      </c>
      <c r="D574" t="inlineStr">
        <is>
          <t>ÖREBRO LÄN</t>
        </is>
      </c>
      <c r="E574" t="inlineStr">
        <is>
          <t>ÖREBRO</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60506-2024</t>
        </is>
      </c>
      <c r="B575" s="1" t="n">
        <v>45643.66630787037</v>
      </c>
      <c r="C575" s="1" t="n">
        <v>46041</v>
      </c>
      <c r="D575" t="inlineStr">
        <is>
          <t>ÖREBRO LÄN</t>
        </is>
      </c>
      <c r="E575" t="inlineStr">
        <is>
          <t>ÖREBRO</t>
        </is>
      </c>
      <c r="G575" t="n">
        <v>5.8</v>
      </c>
      <c r="H575" t="n">
        <v>0</v>
      </c>
      <c r="I575" t="n">
        <v>0</v>
      </c>
      <c r="J575" t="n">
        <v>0</v>
      </c>
      <c r="K575" t="n">
        <v>0</v>
      </c>
      <c r="L575" t="n">
        <v>0</v>
      </c>
      <c r="M575" t="n">
        <v>0</v>
      </c>
      <c r="N575" t="n">
        <v>0</v>
      </c>
      <c r="O575" t="n">
        <v>0</v>
      </c>
      <c r="P575" t="n">
        <v>0</v>
      </c>
      <c r="Q575" t="n">
        <v>0</v>
      </c>
      <c r="R575" s="2" t="inlineStr"/>
    </row>
    <row r="576" ht="15" customHeight="1">
      <c r="A576" t="inlineStr">
        <is>
          <t>A 29978-2024</t>
        </is>
      </c>
      <c r="B576" s="1" t="n">
        <v>45488.48340277778</v>
      </c>
      <c r="C576" s="1" t="n">
        <v>46041</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30903-2024</t>
        </is>
      </c>
      <c r="B577" s="1" t="n">
        <v>45498.49946759259</v>
      </c>
      <c r="C577" s="1" t="n">
        <v>46041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58611-2024</t>
        </is>
      </c>
      <c r="B578" s="1" t="n">
        <v>45635.55555555555</v>
      </c>
      <c r="C578" s="1" t="n">
        <v>46041</v>
      </c>
      <c r="D578" t="inlineStr">
        <is>
          <t>ÖREBRO LÄN</t>
        </is>
      </c>
      <c r="E578" t="inlineStr">
        <is>
          <t>ÖREBRO</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20146-2024</t>
        </is>
      </c>
      <c r="B579" s="1" t="n">
        <v>45434.57641203704</v>
      </c>
      <c r="C579" s="1" t="n">
        <v>46041</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53143-2023</t>
        </is>
      </c>
      <c r="B580" s="1" t="n">
        <v>45229</v>
      </c>
      <c r="C580" s="1" t="n">
        <v>46041</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46041</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5762-2025</t>
        </is>
      </c>
      <c r="B582" s="1" t="n">
        <v>45694.57181712963</v>
      </c>
      <c r="C582" s="1" t="n">
        <v>46041</v>
      </c>
      <c r="D582" t="inlineStr">
        <is>
          <t>ÖREBRO LÄN</t>
        </is>
      </c>
      <c r="E582" t="inlineStr">
        <is>
          <t>ÖREBRO</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62794-2021</t>
        </is>
      </c>
      <c r="B583" s="1" t="n">
        <v>44504</v>
      </c>
      <c r="C583" s="1" t="n">
        <v>46041</v>
      </c>
      <c r="D583" t="inlineStr">
        <is>
          <t>ÖREBRO LÄN</t>
        </is>
      </c>
      <c r="E583" t="inlineStr">
        <is>
          <t>ÖREBRO</t>
        </is>
      </c>
      <c r="G583" t="n">
        <v>3.3</v>
      </c>
      <c r="H583" t="n">
        <v>0</v>
      </c>
      <c r="I583" t="n">
        <v>0</v>
      </c>
      <c r="J583" t="n">
        <v>0</v>
      </c>
      <c r="K583" t="n">
        <v>0</v>
      </c>
      <c r="L583" t="n">
        <v>0</v>
      </c>
      <c r="M583" t="n">
        <v>0</v>
      </c>
      <c r="N583" t="n">
        <v>0</v>
      </c>
      <c r="O583" t="n">
        <v>0</v>
      </c>
      <c r="P583" t="n">
        <v>0</v>
      </c>
      <c r="Q583" t="n">
        <v>0</v>
      </c>
      <c r="R583" s="2" t="inlineStr"/>
    </row>
    <row r="584" ht="15" customHeight="1">
      <c r="A584" t="inlineStr">
        <is>
          <t>A 52612-2024</t>
        </is>
      </c>
      <c r="B584" s="1" t="n">
        <v>45609</v>
      </c>
      <c r="C584" s="1" t="n">
        <v>46041</v>
      </c>
      <c r="D584" t="inlineStr">
        <is>
          <t>ÖREBRO LÄN</t>
        </is>
      </c>
      <c r="E584" t="inlineStr">
        <is>
          <t>ÖREBRO</t>
        </is>
      </c>
      <c r="F584" t="inlineStr">
        <is>
          <t>Kommuner</t>
        </is>
      </c>
      <c r="G584" t="n">
        <v>5.5</v>
      </c>
      <c r="H584" t="n">
        <v>0</v>
      </c>
      <c r="I584" t="n">
        <v>0</v>
      </c>
      <c r="J584" t="n">
        <v>0</v>
      </c>
      <c r="K584" t="n">
        <v>0</v>
      </c>
      <c r="L584" t="n">
        <v>0</v>
      </c>
      <c r="M584" t="n">
        <v>0</v>
      </c>
      <c r="N584" t="n">
        <v>0</v>
      </c>
      <c r="O584" t="n">
        <v>0</v>
      </c>
      <c r="P584" t="n">
        <v>0</v>
      </c>
      <c r="Q584" t="n">
        <v>0</v>
      </c>
      <c r="R584" s="2" t="inlineStr"/>
    </row>
    <row r="585" ht="15" customHeight="1">
      <c r="A585" t="inlineStr">
        <is>
          <t>A 5795-2024</t>
        </is>
      </c>
      <c r="B585" s="1" t="n">
        <v>45335.4531712963</v>
      </c>
      <c r="C585" s="1" t="n">
        <v>46041</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37771-2024</t>
        </is>
      </c>
      <c r="B586" s="1" t="n">
        <v>45542.31359953704</v>
      </c>
      <c r="C586" s="1" t="n">
        <v>46041</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15652-2025</t>
        </is>
      </c>
      <c r="B587" s="1" t="n">
        <v>45748</v>
      </c>
      <c r="C587" s="1" t="n">
        <v>46041</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2076-2025</t>
        </is>
      </c>
      <c r="B588" s="1" t="n">
        <v>45672</v>
      </c>
      <c r="C588" s="1" t="n">
        <v>46041</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14960-2025</t>
        </is>
      </c>
      <c r="B589" s="1" t="n">
        <v>45743.5853125</v>
      </c>
      <c r="C589" s="1" t="n">
        <v>46041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60022-2024</t>
        </is>
      </c>
      <c r="B590" s="1" t="n">
        <v>45642</v>
      </c>
      <c r="C590" s="1" t="n">
        <v>46041</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21097-2025</t>
        </is>
      </c>
      <c r="B591" s="1" t="n">
        <v>45777.63863425926</v>
      </c>
      <c r="C591" s="1" t="n">
        <v>46041</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35819-2024</t>
        </is>
      </c>
      <c r="B592" s="1" t="n">
        <v>45532</v>
      </c>
      <c r="C592" s="1" t="n">
        <v>46041</v>
      </c>
      <c r="D592" t="inlineStr">
        <is>
          <t>ÖREBRO LÄN</t>
        </is>
      </c>
      <c r="E592" t="inlineStr">
        <is>
          <t>ÖREBRO</t>
        </is>
      </c>
      <c r="G592" t="n">
        <v>6.4</v>
      </c>
      <c r="H592" t="n">
        <v>0</v>
      </c>
      <c r="I592" t="n">
        <v>0</v>
      </c>
      <c r="J592" t="n">
        <v>0</v>
      </c>
      <c r="K592" t="n">
        <v>0</v>
      </c>
      <c r="L592" t="n">
        <v>0</v>
      </c>
      <c r="M592" t="n">
        <v>0</v>
      </c>
      <c r="N592" t="n">
        <v>0</v>
      </c>
      <c r="O592" t="n">
        <v>0</v>
      </c>
      <c r="P592" t="n">
        <v>0</v>
      </c>
      <c r="Q592" t="n">
        <v>0</v>
      </c>
      <c r="R592" s="2" t="inlineStr"/>
    </row>
    <row r="593" ht="15" customHeight="1">
      <c r="A593" t="inlineStr">
        <is>
          <t>A 32076-2023</t>
        </is>
      </c>
      <c r="B593" s="1" t="n">
        <v>45119.58324074074</v>
      </c>
      <c r="C593" s="1" t="n">
        <v>46041</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764-2024</t>
        </is>
      </c>
      <c r="B594" s="1" t="n">
        <v>45300.51512731481</v>
      </c>
      <c r="C594" s="1" t="n">
        <v>46041</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58644-2023</t>
        </is>
      </c>
      <c r="B595" s="1" t="n">
        <v>45251.58716435185</v>
      </c>
      <c r="C595" s="1" t="n">
        <v>46041</v>
      </c>
      <c r="D595" t="inlineStr">
        <is>
          <t>ÖREBRO LÄN</t>
        </is>
      </c>
      <c r="E595" t="inlineStr">
        <is>
          <t>ÖREBRO</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46041</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22755-2025</t>
        </is>
      </c>
      <c r="B597" s="1" t="n">
        <v>45789.61872685186</v>
      </c>
      <c r="C597" s="1" t="n">
        <v>46041</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44199-2024</t>
        </is>
      </c>
      <c r="B598" s="1" t="n">
        <v>45573</v>
      </c>
      <c r="C598" s="1" t="n">
        <v>46041</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34336-2024</t>
        </is>
      </c>
      <c r="B599" s="1" t="n">
        <v>45524.94774305556</v>
      </c>
      <c r="C599" s="1" t="n">
        <v>46041</v>
      </c>
      <c r="D599" t="inlineStr">
        <is>
          <t>ÖREBRO LÄN</t>
        </is>
      </c>
      <c r="E599" t="inlineStr">
        <is>
          <t>ÖREBRO</t>
        </is>
      </c>
      <c r="G599" t="n">
        <v>1.3</v>
      </c>
      <c r="H599" t="n">
        <v>0</v>
      </c>
      <c r="I599" t="n">
        <v>0</v>
      </c>
      <c r="J599" t="n">
        <v>0</v>
      </c>
      <c r="K599" t="n">
        <v>0</v>
      </c>
      <c r="L599" t="n">
        <v>0</v>
      </c>
      <c r="M599" t="n">
        <v>0</v>
      </c>
      <c r="N599" t="n">
        <v>0</v>
      </c>
      <c r="O599" t="n">
        <v>0</v>
      </c>
      <c r="P599" t="n">
        <v>0</v>
      </c>
      <c r="Q599" t="n">
        <v>0</v>
      </c>
      <c r="R599" s="2" t="inlineStr"/>
    </row>
    <row r="600" ht="15" customHeight="1">
      <c r="A600" t="inlineStr">
        <is>
          <t>A 26443-2024</t>
        </is>
      </c>
      <c r="B600" s="1" t="n">
        <v>45469.49901620371</v>
      </c>
      <c r="C600" s="1" t="n">
        <v>46041</v>
      </c>
      <c r="D600" t="inlineStr">
        <is>
          <t>ÖREBRO LÄN</t>
        </is>
      </c>
      <c r="E600" t="inlineStr">
        <is>
          <t>ÖREBRO</t>
        </is>
      </c>
      <c r="G600" t="n">
        <v>5.7</v>
      </c>
      <c r="H600" t="n">
        <v>0</v>
      </c>
      <c r="I600" t="n">
        <v>0</v>
      </c>
      <c r="J600" t="n">
        <v>0</v>
      </c>
      <c r="K600" t="n">
        <v>0</v>
      </c>
      <c r="L600" t="n">
        <v>0</v>
      </c>
      <c r="M600" t="n">
        <v>0</v>
      </c>
      <c r="N600" t="n">
        <v>0</v>
      </c>
      <c r="O600" t="n">
        <v>0</v>
      </c>
      <c r="P600" t="n">
        <v>0</v>
      </c>
      <c r="Q600" t="n">
        <v>0</v>
      </c>
      <c r="R600" s="2" t="inlineStr"/>
    </row>
    <row r="601" ht="15" customHeight="1">
      <c r="A601" t="inlineStr">
        <is>
          <t>A 35477-2024</t>
        </is>
      </c>
      <c r="B601" s="1" t="n">
        <v>45531</v>
      </c>
      <c r="C601" s="1" t="n">
        <v>46041</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22719-2025</t>
        </is>
      </c>
      <c r="B602" s="1" t="n">
        <v>45789</v>
      </c>
      <c r="C602" s="1" t="n">
        <v>46041</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30316-2024</t>
        </is>
      </c>
      <c r="B603" s="1" t="n">
        <v>45490</v>
      </c>
      <c r="C603" s="1" t="n">
        <v>46041</v>
      </c>
      <c r="D603" t="inlineStr">
        <is>
          <t>ÖREBRO LÄN</t>
        </is>
      </c>
      <c r="E603" t="inlineStr">
        <is>
          <t>ÖREBRO</t>
        </is>
      </c>
      <c r="G603" t="n">
        <v>5.5</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46041</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61279-2024</t>
        </is>
      </c>
      <c r="B605" s="1" t="n">
        <v>45645</v>
      </c>
      <c r="C605" s="1" t="n">
        <v>46041</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71269-2021</t>
        </is>
      </c>
      <c r="B606" s="1" t="n">
        <v>44539</v>
      </c>
      <c r="C606" s="1" t="n">
        <v>46041</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15555-2025</t>
        </is>
      </c>
      <c r="B607" s="1" t="n">
        <v>45747.67768518518</v>
      </c>
      <c r="C607" s="1" t="n">
        <v>46041</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5136-2024</t>
        </is>
      </c>
      <c r="B608" s="1" t="n">
        <v>45330</v>
      </c>
      <c r="C608" s="1" t="n">
        <v>46041</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4380-2025</t>
        </is>
      </c>
      <c r="B609" s="1" t="n">
        <v>45686.3959375</v>
      </c>
      <c r="C609" s="1" t="n">
        <v>46041</v>
      </c>
      <c r="D609" t="inlineStr">
        <is>
          <t>ÖREBRO LÄN</t>
        </is>
      </c>
      <c r="E609" t="inlineStr">
        <is>
          <t>ÖREBRO</t>
        </is>
      </c>
      <c r="G609" t="n">
        <v>3.2</v>
      </c>
      <c r="H609" t="n">
        <v>0</v>
      </c>
      <c r="I609" t="n">
        <v>0</v>
      </c>
      <c r="J609" t="n">
        <v>0</v>
      </c>
      <c r="K609" t="n">
        <v>0</v>
      </c>
      <c r="L609" t="n">
        <v>0</v>
      </c>
      <c r="M609" t="n">
        <v>0</v>
      </c>
      <c r="N609" t="n">
        <v>0</v>
      </c>
      <c r="O609" t="n">
        <v>0</v>
      </c>
      <c r="P609" t="n">
        <v>0</v>
      </c>
      <c r="Q609" t="n">
        <v>0</v>
      </c>
      <c r="R609" s="2" t="inlineStr"/>
    </row>
    <row r="610" ht="15" customHeight="1">
      <c r="A610" t="inlineStr">
        <is>
          <t>A 34358-2022</t>
        </is>
      </c>
      <c r="B610" s="1" t="n">
        <v>44792.45494212963</v>
      </c>
      <c r="C610" s="1" t="n">
        <v>46041</v>
      </c>
      <c r="D610" t="inlineStr">
        <is>
          <t>ÖREBRO LÄN</t>
        </is>
      </c>
      <c r="E610" t="inlineStr">
        <is>
          <t>ÖREBRO</t>
        </is>
      </c>
      <c r="F610" t="inlineStr">
        <is>
          <t>Övriga Aktiebolag</t>
        </is>
      </c>
      <c r="G610" t="n">
        <v>3.4</v>
      </c>
      <c r="H610" t="n">
        <v>0</v>
      </c>
      <c r="I610" t="n">
        <v>0</v>
      </c>
      <c r="J610" t="n">
        <v>0</v>
      </c>
      <c r="K610" t="n">
        <v>0</v>
      </c>
      <c r="L610" t="n">
        <v>0</v>
      </c>
      <c r="M610" t="n">
        <v>0</v>
      </c>
      <c r="N610" t="n">
        <v>0</v>
      </c>
      <c r="O610" t="n">
        <v>0</v>
      </c>
      <c r="P610" t="n">
        <v>0</v>
      </c>
      <c r="Q610" t="n">
        <v>0</v>
      </c>
      <c r="R610" s="2" t="inlineStr"/>
    </row>
    <row r="611" ht="15" customHeight="1">
      <c r="A611" t="inlineStr">
        <is>
          <t>A 15695-2024</t>
        </is>
      </c>
      <c r="B611" s="1" t="n">
        <v>45404.45487268519</v>
      </c>
      <c r="C611" s="1" t="n">
        <v>46041</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46041</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22348-2024</t>
        </is>
      </c>
      <c r="B613" s="1" t="n">
        <v>45446.61256944444</v>
      </c>
      <c r="C613" s="1" t="n">
        <v>46041</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52018-2024</t>
        </is>
      </c>
      <c r="B614" s="1" t="n">
        <v>45607.82974537037</v>
      </c>
      <c r="C614" s="1" t="n">
        <v>46041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30089-2024</t>
        </is>
      </c>
      <c r="B615" s="1" t="n">
        <v>45485</v>
      </c>
      <c r="C615" s="1" t="n">
        <v>46041</v>
      </c>
      <c r="D615" t="inlineStr">
        <is>
          <t>ÖREBRO LÄN</t>
        </is>
      </c>
      <c r="E615" t="inlineStr">
        <is>
          <t>ÖREBRO</t>
        </is>
      </c>
      <c r="G615" t="n">
        <v>2.2</v>
      </c>
      <c r="H615" t="n">
        <v>0</v>
      </c>
      <c r="I615" t="n">
        <v>0</v>
      </c>
      <c r="J615" t="n">
        <v>0</v>
      </c>
      <c r="K615" t="n">
        <v>0</v>
      </c>
      <c r="L615" t="n">
        <v>0</v>
      </c>
      <c r="M615" t="n">
        <v>0</v>
      </c>
      <c r="N615" t="n">
        <v>0</v>
      </c>
      <c r="O615" t="n">
        <v>0</v>
      </c>
      <c r="P615" t="n">
        <v>0</v>
      </c>
      <c r="Q615" t="n">
        <v>0</v>
      </c>
      <c r="R615" s="2" t="inlineStr"/>
    </row>
    <row r="616" ht="15" customHeight="1">
      <c r="A616" t="inlineStr">
        <is>
          <t>A 71295-2021</t>
        </is>
      </c>
      <c r="B616" s="1" t="n">
        <v>44539.63009259259</v>
      </c>
      <c r="C616" s="1" t="n">
        <v>46041</v>
      </c>
      <c r="D616" t="inlineStr">
        <is>
          <t>ÖREBRO LÄN</t>
        </is>
      </c>
      <c r="E616" t="inlineStr">
        <is>
          <t>ÖREBRO</t>
        </is>
      </c>
      <c r="G616" t="n">
        <v>2.3</v>
      </c>
      <c r="H616" t="n">
        <v>0</v>
      </c>
      <c r="I616" t="n">
        <v>0</v>
      </c>
      <c r="J616" t="n">
        <v>0</v>
      </c>
      <c r="K616" t="n">
        <v>0</v>
      </c>
      <c r="L616" t="n">
        <v>0</v>
      </c>
      <c r="M616" t="n">
        <v>0</v>
      </c>
      <c r="N616" t="n">
        <v>0</v>
      </c>
      <c r="O616" t="n">
        <v>0</v>
      </c>
      <c r="P616" t="n">
        <v>0</v>
      </c>
      <c r="Q616" t="n">
        <v>0</v>
      </c>
      <c r="R616" s="2" t="inlineStr"/>
    </row>
    <row r="617" ht="15" customHeight="1">
      <c r="A617" t="inlineStr">
        <is>
          <t>A 46030-2024</t>
        </is>
      </c>
      <c r="B617" s="1" t="n">
        <v>45580.70377314815</v>
      </c>
      <c r="C617" s="1" t="n">
        <v>46041</v>
      </c>
      <c r="D617" t="inlineStr">
        <is>
          <t>ÖREBRO LÄN</t>
        </is>
      </c>
      <c r="E617" t="inlineStr">
        <is>
          <t>ÖREBRO</t>
        </is>
      </c>
      <c r="G617" t="n">
        <v>3.9</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46041</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11516-2024</t>
        </is>
      </c>
      <c r="B619" s="1" t="n">
        <v>45372</v>
      </c>
      <c r="C619" s="1" t="n">
        <v>46041</v>
      </c>
      <c r="D619" t="inlineStr">
        <is>
          <t>ÖREBRO LÄN</t>
        </is>
      </c>
      <c r="E619" t="inlineStr">
        <is>
          <t>ÖREBRO</t>
        </is>
      </c>
      <c r="G619" t="n">
        <v>10.7</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46041</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25578-2025</t>
        </is>
      </c>
      <c r="B621" s="1" t="n">
        <v>45803.47803240741</v>
      </c>
      <c r="C621" s="1" t="n">
        <v>46041</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25519-2025</t>
        </is>
      </c>
      <c r="B622" s="1" t="n">
        <v>45803.38447916666</v>
      </c>
      <c r="C622" s="1" t="n">
        <v>46041</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27220-2025</t>
        </is>
      </c>
      <c r="B623" s="1" t="n">
        <v>45812.42293981482</v>
      </c>
      <c r="C623" s="1" t="n">
        <v>46041</v>
      </c>
      <c r="D623" t="inlineStr">
        <is>
          <t>ÖREBRO LÄN</t>
        </is>
      </c>
      <c r="E623" t="inlineStr">
        <is>
          <t>ÖREBRO</t>
        </is>
      </c>
      <c r="G623" t="n">
        <v>0.6</v>
      </c>
      <c r="H623" t="n">
        <v>0</v>
      </c>
      <c r="I623" t="n">
        <v>0</v>
      </c>
      <c r="J623" t="n">
        <v>0</v>
      </c>
      <c r="K623" t="n">
        <v>0</v>
      </c>
      <c r="L623" t="n">
        <v>0</v>
      </c>
      <c r="M623" t="n">
        <v>0</v>
      </c>
      <c r="N623" t="n">
        <v>0</v>
      </c>
      <c r="O623" t="n">
        <v>0</v>
      </c>
      <c r="P623" t="n">
        <v>0</v>
      </c>
      <c r="Q623" t="n">
        <v>0</v>
      </c>
      <c r="R623" s="2" t="inlineStr"/>
    </row>
    <row r="624" ht="15" customHeight="1">
      <c r="A624" t="inlineStr">
        <is>
          <t>A 27180-2025</t>
        </is>
      </c>
      <c r="B624" s="1" t="n">
        <v>45812.35736111111</v>
      </c>
      <c r="C624" s="1" t="n">
        <v>46041</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27215-2025</t>
        </is>
      </c>
      <c r="B625" s="1" t="n">
        <v>45812.41869212963</v>
      </c>
      <c r="C625" s="1" t="n">
        <v>46041</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27225-2025</t>
        </is>
      </c>
      <c r="B626" s="1" t="n">
        <v>45812.42856481481</v>
      </c>
      <c r="C626" s="1" t="n">
        <v>46041</v>
      </c>
      <c r="D626" t="inlineStr">
        <is>
          <t>ÖREBRO LÄN</t>
        </is>
      </c>
      <c r="E626" t="inlineStr">
        <is>
          <t>ÖREBRO</t>
        </is>
      </c>
      <c r="G626" t="n">
        <v>4</v>
      </c>
      <c r="H626" t="n">
        <v>0</v>
      </c>
      <c r="I626" t="n">
        <v>0</v>
      </c>
      <c r="J626" t="n">
        <v>0</v>
      </c>
      <c r="K626" t="n">
        <v>0</v>
      </c>
      <c r="L626" t="n">
        <v>0</v>
      </c>
      <c r="M626" t="n">
        <v>0</v>
      </c>
      <c r="N626" t="n">
        <v>0</v>
      </c>
      <c r="O626" t="n">
        <v>0</v>
      </c>
      <c r="P626" t="n">
        <v>0</v>
      </c>
      <c r="Q626" t="n">
        <v>0</v>
      </c>
      <c r="R626" s="2" t="inlineStr"/>
    </row>
    <row r="627" ht="15" customHeight="1">
      <c r="A627" t="inlineStr">
        <is>
          <t>A 28120-2025</t>
        </is>
      </c>
      <c r="B627" s="1" t="n">
        <v>45818.30459490741</v>
      </c>
      <c r="C627" s="1" t="n">
        <v>46041</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ht="15" customHeight="1">
      <c r="A628" t="inlineStr">
        <is>
          <t>A 28938-2025</t>
        </is>
      </c>
      <c r="B628" s="1" t="n">
        <v>45820.70626157407</v>
      </c>
      <c r="C628" s="1" t="n">
        <v>46041</v>
      </c>
      <c r="D628" t="inlineStr">
        <is>
          <t>ÖREBRO LÄN</t>
        </is>
      </c>
      <c r="E628" t="inlineStr">
        <is>
          <t>ÖREBRO</t>
        </is>
      </c>
      <c r="G628" t="n">
        <v>1.9</v>
      </c>
      <c r="H628" t="n">
        <v>0</v>
      </c>
      <c r="I628" t="n">
        <v>0</v>
      </c>
      <c r="J628" t="n">
        <v>0</v>
      </c>
      <c r="K628" t="n">
        <v>0</v>
      </c>
      <c r="L628" t="n">
        <v>0</v>
      </c>
      <c r="M628" t="n">
        <v>0</v>
      </c>
      <c r="N628" t="n">
        <v>0</v>
      </c>
      <c r="O628" t="n">
        <v>0</v>
      </c>
      <c r="P628" t="n">
        <v>0</v>
      </c>
      <c r="Q628" t="n">
        <v>0</v>
      </c>
      <c r="R628" s="2" t="inlineStr"/>
    </row>
    <row r="629" ht="15" customHeight="1">
      <c r="A629" t="inlineStr">
        <is>
          <t>A 28920-2025</t>
        </is>
      </c>
      <c r="B629" s="1" t="n">
        <v>45820.66532407407</v>
      </c>
      <c r="C629" s="1" t="n">
        <v>46041</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29286-2025</t>
        </is>
      </c>
      <c r="B630" s="1" t="n">
        <v>45824.43502314815</v>
      </c>
      <c r="C630" s="1" t="n">
        <v>46041</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29339-2025</t>
        </is>
      </c>
      <c r="B631" s="1" t="n">
        <v>45824.5044212963</v>
      </c>
      <c r="C631" s="1" t="n">
        <v>46041</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60059-2023</t>
        </is>
      </c>
      <c r="B632" s="1" t="n">
        <v>45258.38157407408</v>
      </c>
      <c r="C632" s="1" t="n">
        <v>46041</v>
      </c>
      <c r="D632" t="inlineStr">
        <is>
          <t>ÖREBRO LÄN</t>
        </is>
      </c>
      <c r="E632" t="inlineStr">
        <is>
          <t>ÖREBRO</t>
        </is>
      </c>
      <c r="G632" t="n">
        <v>4</v>
      </c>
      <c r="H632" t="n">
        <v>0</v>
      </c>
      <c r="I632" t="n">
        <v>0</v>
      </c>
      <c r="J632" t="n">
        <v>0</v>
      </c>
      <c r="K632" t="n">
        <v>0</v>
      </c>
      <c r="L632" t="n">
        <v>0</v>
      </c>
      <c r="M632" t="n">
        <v>0</v>
      </c>
      <c r="N632" t="n">
        <v>0</v>
      </c>
      <c r="O632" t="n">
        <v>0</v>
      </c>
      <c r="P632" t="n">
        <v>0</v>
      </c>
      <c r="Q632" t="n">
        <v>0</v>
      </c>
      <c r="R632" s="2" t="inlineStr"/>
    </row>
    <row r="633" ht="15" customHeight="1">
      <c r="A633" t="inlineStr">
        <is>
          <t>A 26858-2024</t>
        </is>
      </c>
      <c r="B633" s="1" t="n">
        <v>45470</v>
      </c>
      <c r="C633" s="1" t="n">
        <v>46041</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29701-2025</t>
        </is>
      </c>
      <c r="B634" s="1" t="n">
        <v>45825.55261574074</v>
      </c>
      <c r="C634" s="1" t="n">
        <v>46041</v>
      </c>
      <c r="D634" t="inlineStr">
        <is>
          <t>ÖREBRO LÄN</t>
        </is>
      </c>
      <c r="E634" t="inlineStr">
        <is>
          <t>ÖREBRO</t>
        </is>
      </c>
      <c r="G634" t="n">
        <v>5.8</v>
      </c>
      <c r="H634" t="n">
        <v>0</v>
      </c>
      <c r="I634" t="n">
        <v>0</v>
      </c>
      <c r="J634" t="n">
        <v>0</v>
      </c>
      <c r="K634" t="n">
        <v>0</v>
      </c>
      <c r="L634" t="n">
        <v>0</v>
      </c>
      <c r="M634" t="n">
        <v>0</v>
      </c>
      <c r="N634" t="n">
        <v>0</v>
      </c>
      <c r="O634" t="n">
        <v>0</v>
      </c>
      <c r="P634" t="n">
        <v>0</v>
      </c>
      <c r="Q634" t="n">
        <v>0</v>
      </c>
      <c r="R634" s="2" t="inlineStr"/>
    </row>
    <row r="635" ht="15" customHeight="1">
      <c r="A635" t="inlineStr">
        <is>
          <t>A 30550-2025</t>
        </is>
      </c>
      <c r="B635" s="1" t="n">
        <v>45831.38224537037</v>
      </c>
      <c r="C635" s="1" t="n">
        <v>46041</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30731-2025</t>
        </is>
      </c>
      <c r="B636" s="1" t="n">
        <v>45831.57280092593</v>
      </c>
      <c r="C636" s="1" t="n">
        <v>46041</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30951-2025</t>
        </is>
      </c>
      <c r="B637" s="1" t="n">
        <v>45832.43225694444</v>
      </c>
      <c r="C637" s="1" t="n">
        <v>46041</v>
      </c>
      <c r="D637" t="inlineStr">
        <is>
          <t>ÖREBRO LÄN</t>
        </is>
      </c>
      <c r="E637" t="inlineStr">
        <is>
          <t>ÖREBRO</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31066-2025</t>
        </is>
      </c>
      <c r="B638" s="1" t="n">
        <v>45832</v>
      </c>
      <c r="C638" s="1" t="n">
        <v>46041</v>
      </c>
      <c r="D638" t="inlineStr">
        <is>
          <t>ÖREBRO LÄN</t>
        </is>
      </c>
      <c r="E638" t="inlineStr">
        <is>
          <t>ÖREBRO</t>
        </is>
      </c>
      <c r="G638" t="n">
        <v>11.1</v>
      </c>
      <c r="H638" t="n">
        <v>0</v>
      </c>
      <c r="I638" t="n">
        <v>0</v>
      </c>
      <c r="J638" t="n">
        <v>0</v>
      </c>
      <c r="K638" t="n">
        <v>0</v>
      </c>
      <c r="L638" t="n">
        <v>0</v>
      </c>
      <c r="M638" t="n">
        <v>0</v>
      </c>
      <c r="N638" t="n">
        <v>0</v>
      </c>
      <c r="O638" t="n">
        <v>0</v>
      </c>
      <c r="P638" t="n">
        <v>0</v>
      </c>
      <c r="Q638" t="n">
        <v>0</v>
      </c>
      <c r="R638" s="2" t="inlineStr"/>
    </row>
    <row r="639" ht="15" customHeight="1">
      <c r="A639" t="inlineStr">
        <is>
          <t>A 31233-2025</t>
        </is>
      </c>
      <c r="B639" s="1" t="n">
        <v>45832.83341435185</v>
      </c>
      <c r="C639" s="1" t="n">
        <v>46041</v>
      </c>
      <c r="D639" t="inlineStr">
        <is>
          <t>ÖREBRO LÄN</t>
        </is>
      </c>
      <c r="E639" t="inlineStr">
        <is>
          <t>ÖREBRO</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31232-2025</t>
        </is>
      </c>
      <c r="B640" s="1" t="n">
        <v>45832.8252199074</v>
      </c>
      <c r="C640" s="1" t="n">
        <v>46041</v>
      </c>
      <c r="D640" t="inlineStr">
        <is>
          <t>ÖREBRO LÄN</t>
        </is>
      </c>
      <c r="E640" t="inlineStr">
        <is>
          <t>ÖREBRO</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31237-2025</t>
        </is>
      </c>
      <c r="B641" s="1" t="n">
        <v>45832.84313657408</v>
      </c>
      <c r="C641" s="1" t="n">
        <v>46041</v>
      </c>
      <c r="D641" t="inlineStr">
        <is>
          <t>ÖREBRO LÄN</t>
        </is>
      </c>
      <c r="E641" t="inlineStr">
        <is>
          <t>ÖREBRO</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32218-2025</t>
        </is>
      </c>
      <c r="B642" s="1" t="n">
        <v>45835.58880787037</v>
      </c>
      <c r="C642" s="1" t="n">
        <v>46041</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32188-2025</t>
        </is>
      </c>
      <c r="B643" s="1" t="n">
        <v>45835.56965277778</v>
      </c>
      <c r="C643" s="1" t="n">
        <v>46041</v>
      </c>
      <c r="D643" t="inlineStr">
        <is>
          <t>ÖREBRO LÄN</t>
        </is>
      </c>
      <c r="E643" t="inlineStr">
        <is>
          <t>ÖREBRO</t>
        </is>
      </c>
      <c r="G643" t="n">
        <v>2.9</v>
      </c>
      <c r="H643" t="n">
        <v>0</v>
      </c>
      <c r="I643" t="n">
        <v>0</v>
      </c>
      <c r="J643" t="n">
        <v>0</v>
      </c>
      <c r="K643" t="n">
        <v>0</v>
      </c>
      <c r="L643" t="n">
        <v>0</v>
      </c>
      <c r="M643" t="n">
        <v>0</v>
      </c>
      <c r="N643" t="n">
        <v>0</v>
      </c>
      <c r="O643" t="n">
        <v>0</v>
      </c>
      <c r="P643" t="n">
        <v>0</v>
      </c>
      <c r="Q643" t="n">
        <v>0</v>
      </c>
      <c r="R643" s="2" t="inlineStr"/>
    </row>
    <row r="644" ht="15" customHeight="1">
      <c r="A644" t="inlineStr">
        <is>
          <t>A 32195-2025</t>
        </is>
      </c>
      <c r="B644" s="1" t="n">
        <v>45835.57407407407</v>
      </c>
      <c r="C644" s="1" t="n">
        <v>46041</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33191-2025</t>
        </is>
      </c>
      <c r="B645" s="1" t="n">
        <v>45840.6003587963</v>
      </c>
      <c r="C645" s="1" t="n">
        <v>46041</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32426-2025</t>
        </is>
      </c>
      <c r="B646" s="1" t="n">
        <v>45838.36179398148</v>
      </c>
      <c r="C646" s="1" t="n">
        <v>46041</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46041</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48687-2024</t>
        </is>
      </c>
      <c r="B648" s="1" t="n">
        <v>45593.49899305555</v>
      </c>
      <c r="C648" s="1" t="n">
        <v>46041</v>
      </c>
      <c r="D648" t="inlineStr">
        <is>
          <t>ÖREBRO LÄN</t>
        </is>
      </c>
      <c r="E648" t="inlineStr">
        <is>
          <t>ÖREBRO</t>
        </is>
      </c>
      <c r="F648" t="inlineStr">
        <is>
          <t>Övriga Aktiebolag</t>
        </is>
      </c>
      <c r="G648" t="n">
        <v>3.8</v>
      </c>
      <c r="H648" t="n">
        <v>0</v>
      </c>
      <c r="I648" t="n">
        <v>0</v>
      </c>
      <c r="J648" t="n">
        <v>0</v>
      </c>
      <c r="K648" t="n">
        <v>0</v>
      </c>
      <c r="L648" t="n">
        <v>0</v>
      </c>
      <c r="M648" t="n">
        <v>0</v>
      </c>
      <c r="N648" t="n">
        <v>0</v>
      </c>
      <c r="O648" t="n">
        <v>0</v>
      </c>
      <c r="P648" t="n">
        <v>0</v>
      </c>
      <c r="Q648" t="n">
        <v>0</v>
      </c>
      <c r="R648" s="2" t="inlineStr"/>
    </row>
    <row r="649" ht="15" customHeight="1">
      <c r="A649" t="inlineStr">
        <is>
          <t>A 35062-2025</t>
        </is>
      </c>
      <c r="B649" s="1" t="n">
        <v>45852</v>
      </c>
      <c r="C649" s="1" t="n">
        <v>46041</v>
      </c>
      <c r="D649" t="inlineStr">
        <is>
          <t>ÖREBRO LÄN</t>
        </is>
      </c>
      <c r="E649" t="inlineStr">
        <is>
          <t>ÖREBRO</t>
        </is>
      </c>
      <c r="G649" t="n">
        <v>2.8</v>
      </c>
      <c r="H649" t="n">
        <v>0</v>
      </c>
      <c r="I649" t="n">
        <v>0</v>
      </c>
      <c r="J649" t="n">
        <v>0</v>
      </c>
      <c r="K649" t="n">
        <v>0</v>
      </c>
      <c r="L649" t="n">
        <v>0</v>
      </c>
      <c r="M649" t="n">
        <v>0</v>
      </c>
      <c r="N649" t="n">
        <v>0</v>
      </c>
      <c r="O649" t="n">
        <v>0</v>
      </c>
      <c r="P649" t="n">
        <v>0</v>
      </c>
      <c r="Q649" t="n">
        <v>0</v>
      </c>
      <c r="R649" s="2" t="inlineStr"/>
    </row>
    <row r="650" ht="15" customHeight="1">
      <c r="A650" t="inlineStr">
        <is>
          <t>A 28821-2025</t>
        </is>
      </c>
      <c r="B650" s="1" t="n">
        <v>45820</v>
      </c>
      <c r="C650" s="1" t="n">
        <v>46041</v>
      </c>
      <c r="D650" t="inlineStr">
        <is>
          <t>ÖREBRO LÄN</t>
        </is>
      </c>
      <c r="E650" t="inlineStr">
        <is>
          <t>ÖREBRO</t>
        </is>
      </c>
      <c r="G650" t="n">
        <v>12.6</v>
      </c>
      <c r="H650" t="n">
        <v>0</v>
      </c>
      <c r="I650" t="n">
        <v>0</v>
      </c>
      <c r="J650" t="n">
        <v>0</v>
      </c>
      <c r="K650" t="n">
        <v>0</v>
      </c>
      <c r="L650" t="n">
        <v>0</v>
      </c>
      <c r="M650" t="n">
        <v>0</v>
      </c>
      <c r="N650" t="n">
        <v>0</v>
      </c>
      <c r="O650" t="n">
        <v>0</v>
      </c>
      <c r="P650" t="n">
        <v>0</v>
      </c>
      <c r="Q650" t="n">
        <v>0</v>
      </c>
      <c r="R650" s="2" t="inlineStr"/>
    </row>
    <row r="651" ht="15" customHeight="1">
      <c r="A651" t="inlineStr">
        <is>
          <t>A 35637-2025</t>
        </is>
      </c>
      <c r="B651" s="1" t="n">
        <v>45859.46859953704</v>
      </c>
      <c r="C651" s="1" t="n">
        <v>46041</v>
      </c>
      <c r="D651" t="inlineStr">
        <is>
          <t>ÖREBRO LÄN</t>
        </is>
      </c>
      <c r="E651" t="inlineStr">
        <is>
          <t>ÖREBRO</t>
        </is>
      </c>
      <c r="G651" t="n">
        <v>2.1</v>
      </c>
      <c r="H651" t="n">
        <v>0</v>
      </c>
      <c r="I651" t="n">
        <v>0</v>
      </c>
      <c r="J651" t="n">
        <v>0</v>
      </c>
      <c r="K651" t="n">
        <v>0</v>
      </c>
      <c r="L651" t="n">
        <v>0</v>
      </c>
      <c r="M651" t="n">
        <v>0</v>
      </c>
      <c r="N651" t="n">
        <v>0</v>
      </c>
      <c r="O651" t="n">
        <v>0</v>
      </c>
      <c r="P651" t="n">
        <v>0</v>
      </c>
      <c r="Q651" t="n">
        <v>0</v>
      </c>
      <c r="R651" s="2" t="inlineStr"/>
    </row>
    <row r="652" ht="15" customHeight="1">
      <c r="A652" t="inlineStr">
        <is>
          <t>A 35928-2025</t>
        </is>
      </c>
      <c r="B652" s="1" t="n">
        <v>45862</v>
      </c>
      <c r="C652" s="1" t="n">
        <v>46041</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c r="A653" t="inlineStr">
        <is>
          <t>A 55453-2024</t>
        </is>
      </c>
      <c r="B653" s="1" t="n">
        <v>45622.42097222222</v>
      </c>
      <c r="C653" s="1" t="n">
        <v>46041</v>
      </c>
      <c r="D653" t="inlineStr">
        <is>
          <t>ÖREBRO LÄN</t>
        </is>
      </c>
      <c r="E653" t="inlineStr">
        <is>
          <t>ÖREBRO</t>
        </is>
      </c>
      <c r="G653" t="n">
        <v>8.5</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2026-01-19T10:59:01Z</dcterms:created>
  <dcterms:modified xmlns:dcterms="http://purl.org/dc/terms/" xmlns:xsi="http://www.w3.org/2001/XMLSchema-instance" xsi:type="dcterms:W3CDTF">2026-01-19T10:59:01Z</dcterms:modified>
</cp:coreProperties>
</file>