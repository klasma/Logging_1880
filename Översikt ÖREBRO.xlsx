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45935</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45935</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45935</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45935</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45935</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45935</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45935</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45935</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33069-2025</t>
        </is>
      </c>
      <c r="B11" s="1" t="n">
        <v>45840</v>
      </c>
      <c r="C11" s="1" t="n">
        <v>45935</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45935</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8564-2021</t>
        </is>
      </c>
      <c r="B13" s="1" t="n">
        <v>44245</v>
      </c>
      <c r="C13" s="1" t="n">
        <v>45935</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45935</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45935</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45935</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45935</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575-2024</t>
        </is>
      </c>
      <c r="B18" s="1" t="n">
        <v>45299</v>
      </c>
      <c r="C18" s="1" t="n">
        <v>45935</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45935</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45935</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45935</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45935</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45935</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45935</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45935</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45935</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14956-2025</t>
        </is>
      </c>
      <c r="B27" s="1" t="n">
        <v>45743.58409722222</v>
      </c>
      <c r="C27" s="1" t="n">
        <v>45935</v>
      </c>
      <c r="D27" t="inlineStr">
        <is>
          <t>ÖREBRO LÄN</t>
        </is>
      </c>
      <c r="E27" t="inlineStr">
        <is>
          <t>ÖREBRO</t>
        </is>
      </c>
      <c r="G27" t="n">
        <v>5.2</v>
      </c>
      <c r="H27" t="n">
        <v>1</v>
      </c>
      <c r="I27" t="n">
        <v>2</v>
      </c>
      <c r="J27" t="n">
        <v>0</v>
      </c>
      <c r="K27" t="n">
        <v>0</v>
      </c>
      <c r="L27" t="n">
        <v>0</v>
      </c>
      <c r="M27" t="n">
        <v>0</v>
      </c>
      <c r="N27" t="n">
        <v>0</v>
      </c>
      <c r="O27" t="n">
        <v>0</v>
      </c>
      <c r="P27" t="n">
        <v>0</v>
      </c>
      <c r="Q27" t="n">
        <v>2</v>
      </c>
      <c r="R27" s="2" t="inlineStr">
        <is>
          <t>Kalktallört
Skogsknipprot</t>
        </is>
      </c>
      <c r="S27">
        <f>HYPERLINK("https://klasma.github.io/Logging_1880/artfynd/A 14956-2025 artfynd.xlsx", "A 14956-2025")</f>
        <v/>
      </c>
      <c r="T27">
        <f>HYPERLINK("https://klasma.github.io/Logging_1880/kartor/A 14956-2025 karta.png", "A 14956-2025")</f>
        <v/>
      </c>
      <c r="V27">
        <f>HYPERLINK("https://klasma.github.io/Logging_1880/klagomål/A 14956-2025 FSC-klagomål.docx", "A 14956-2025")</f>
        <v/>
      </c>
      <c r="W27">
        <f>HYPERLINK("https://klasma.github.io/Logging_1880/klagomålsmail/A 14956-2025 FSC-klagomål mail.docx", "A 14956-2025")</f>
        <v/>
      </c>
      <c r="X27">
        <f>HYPERLINK("https://klasma.github.io/Logging_1880/tillsyn/A 14956-2025 tillsynsbegäran.docx", "A 14956-2025")</f>
        <v/>
      </c>
      <c r="Y27">
        <f>HYPERLINK("https://klasma.github.io/Logging_1880/tillsynsmail/A 14956-2025 tillsynsbegäran mail.docx", "A 14956-2025")</f>
        <v/>
      </c>
    </row>
    <row r="28" ht="15" customHeight="1">
      <c r="A28" t="inlineStr">
        <is>
          <t>A 13458-2024</t>
        </is>
      </c>
      <c r="B28" s="1" t="n">
        <v>45387.54642361111</v>
      </c>
      <c r="C28" s="1" t="n">
        <v>45935</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7608-2024</t>
        </is>
      </c>
      <c r="B29" s="1" t="n">
        <v>45348</v>
      </c>
      <c r="C29" s="1" t="n">
        <v>45935</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45935</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22577-2024</t>
        </is>
      </c>
      <c r="B31" s="1" t="n">
        <v>45447</v>
      </c>
      <c r="C31" s="1" t="n">
        <v>45935</v>
      </c>
      <c r="D31" t="inlineStr">
        <is>
          <t>ÖREBRO LÄN</t>
        </is>
      </c>
      <c r="E31" t="inlineStr">
        <is>
          <t>ÖREBRO</t>
        </is>
      </c>
      <c r="G31" t="n">
        <v>1.8</v>
      </c>
      <c r="H31" t="n">
        <v>1</v>
      </c>
      <c r="I31" t="n">
        <v>0</v>
      </c>
      <c r="J31" t="n">
        <v>2</v>
      </c>
      <c r="K31" t="n">
        <v>0</v>
      </c>
      <c r="L31" t="n">
        <v>0</v>
      </c>
      <c r="M31" t="n">
        <v>0</v>
      </c>
      <c r="N31" t="n">
        <v>0</v>
      </c>
      <c r="O31" t="n">
        <v>2</v>
      </c>
      <c r="P31" t="n">
        <v>0</v>
      </c>
      <c r="Q31" t="n">
        <v>2</v>
      </c>
      <c r="R31" s="2" t="inlineStr">
        <is>
          <t>Spillkråka
Ullticka</t>
        </is>
      </c>
      <c r="S31">
        <f>HYPERLINK("https://klasma.github.io/Logging_1880/artfynd/A 22577-2024 artfynd.xlsx", "A 22577-2024")</f>
        <v/>
      </c>
      <c r="T31">
        <f>HYPERLINK("https://klasma.github.io/Logging_1880/kartor/A 22577-2024 karta.png", "A 22577-2024")</f>
        <v/>
      </c>
      <c r="V31">
        <f>HYPERLINK("https://klasma.github.io/Logging_1880/klagomål/A 22577-2024 FSC-klagomål.docx", "A 22577-2024")</f>
        <v/>
      </c>
      <c r="W31">
        <f>HYPERLINK("https://klasma.github.io/Logging_1880/klagomålsmail/A 22577-2024 FSC-klagomål mail.docx", "A 22577-2024")</f>
        <v/>
      </c>
      <c r="X31">
        <f>HYPERLINK("https://klasma.github.io/Logging_1880/tillsyn/A 22577-2024 tillsynsbegäran.docx", "A 22577-2024")</f>
        <v/>
      </c>
      <c r="Y31">
        <f>HYPERLINK("https://klasma.github.io/Logging_1880/tillsynsmail/A 22577-2024 tillsynsbegäran mail.docx", "A 22577-2024")</f>
        <v/>
      </c>
      <c r="Z31">
        <f>HYPERLINK("https://klasma.github.io/Logging_1880/fåglar/A 22577-2024 prioriterade fågelarter.docx", "A 22577-2024")</f>
        <v/>
      </c>
    </row>
    <row r="32" ht="15" customHeight="1">
      <c r="A32" t="inlineStr">
        <is>
          <t>A 37019-2024</t>
        </is>
      </c>
      <c r="B32" s="1" t="n">
        <v>45539.37905092593</v>
      </c>
      <c r="C32" s="1" t="n">
        <v>45935</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8267-2021</t>
        </is>
      </c>
      <c r="B33" s="1" t="n">
        <v>44244</v>
      </c>
      <c r="C33" s="1" t="n">
        <v>45935</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45935</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13395-2024</t>
        </is>
      </c>
      <c r="B35" s="1" t="n">
        <v>45387.42296296296</v>
      </c>
      <c r="C35" s="1" t="n">
        <v>45935</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29704-2022</t>
        </is>
      </c>
      <c r="B36" s="1" t="n">
        <v>44755</v>
      </c>
      <c r="C36" s="1" t="n">
        <v>45935</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45935</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45935</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20032-2023</t>
        </is>
      </c>
      <c r="B39" s="1" t="n">
        <v>45054</v>
      </c>
      <c r="C39" s="1" t="n">
        <v>45935</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31695-2024</t>
        </is>
      </c>
      <c r="B40" s="1" t="n">
        <v>45508</v>
      </c>
      <c r="C40" s="1" t="n">
        <v>45935</v>
      </c>
      <c r="D40" t="inlineStr">
        <is>
          <t>ÖREBRO LÄN</t>
        </is>
      </c>
      <c r="E40" t="inlineStr">
        <is>
          <t>ÖREBRO</t>
        </is>
      </c>
      <c r="G40" t="n">
        <v>1.3</v>
      </c>
      <c r="H40" t="n">
        <v>1</v>
      </c>
      <c r="I40" t="n">
        <v>1</v>
      </c>
      <c r="J40" t="n">
        <v>0</v>
      </c>
      <c r="K40" t="n">
        <v>0</v>
      </c>
      <c r="L40" t="n">
        <v>0</v>
      </c>
      <c r="M40" t="n">
        <v>0</v>
      </c>
      <c r="N40" t="n">
        <v>0</v>
      </c>
      <c r="O40" t="n">
        <v>0</v>
      </c>
      <c r="P40" t="n">
        <v>0</v>
      </c>
      <c r="Q40" t="n">
        <v>1</v>
      </c>
      <c r="R40" s="2" t="inlineStr">
        <is>
          <t>Skogsknipprot</t>
        </is>
      </c>
      <c r="S40">
        <f>HYPERLINK("https://klasma.github.io/Logging_1880/artfynd/A 31695-2024 artfynd.xlsx", "A 31695-2024")</f>
        <v/>
      </c>
      <c r="T40">
        <f>HYPERLINK("https://klasma.github.io/Logging_1880/kartor/A 31695-2024 karta.png", "A 31695-2024")</f>
        <v/>
      </c>
      <c r="V40">
        <f>HYPERLINK("https://klasma.github.io/Logging_1880/klagomål/A 31695-2024 FSC-klagomål.docx", "A 31695-2024")</f>
        <v/>
      </c>
      <c r="W40">
        <f>HYPERLINK("https://klasma.github.io/Logging_1880/klagomålsmail/A 31695-2024 FSC-klagomål mail.docx", "A 31695-2024")</f>
        <v/>
      </c>
      <c r="X40">
        <f>HYPERLINK("https://klasma.github.io/Logging_1880/tillsyn/A 31695-2024 tillsynsbegäran.docx", "A 31695-2024")</f>
        <v/>
      </c>
      <c r="Y40">
        <f>HYPERLINK("https://klasma.github.io/Logging_1880/tillsynsmail/A 31695-2024 tillsynsbegäran mail.docx", "A 31695-2024")</f>
        <v/>
      </c>
    </row>
    <row r="41" ht="15" customHeight="1">
      <c r="A41" t="inlineStr">
        <is>
          <t>A 5097-2023</t>
        </is>
      </c>
      <c r="B41" s="1" t="n">
        <v>44958</v>
      </c>
      <c r="C41" s="1" t="n">
        <v>45935</v>
      </c>
      <c r="D41" t="inlineStr">
        <is>
          <t>ÖREBRO LÄN</t>
        </is>
      </c>
      <c r="E41" t="inlineStr">
        <is>
          <t>ÖREBRO</t>
        </is>
      </c>
      <c r="G41" t="n">
        <v>3.6</v>
      </c>
      <c r="H41" t="n">
        <v>1</v>
      </c>
      <c r="I41" t="n">
        <v>0</v>
      </c>
      <c r="J41" t="n">
        <v>0</v>
      </c>
      <c r="K41" t="n">
        <v>0</v>
      </c>
      <c r="L41" t="n">
        <v>0</v>
      </c>
      <c r="M41" t="n">
        <v>0</v>
      </c>
      <c r="N41" t="n">
        <v>0</v>
      </c>
      <c r="O41" t="n">
        <v>0</v>
      </c>
      <c r="P41" t="n">
        <v>0</v>
      </c>
      <c r="Q41" t="n">
        <v>1</v>
      </c>
      <c r="R41" s="2" t="inlineStr">
        <is>
          <t>Grönvit nattviol</t>
        </is>
      </c>
      <c r="S41">
        <f>HYPERLINK("https://klasma.github.io/Logging_1880/artfynd/A 5097-2023 artfynd.xlsx", "A 5097-2023")</f>
        <v/>
      </c>
      <c r="T41">
        <f>HYPERLINK("https://klasma.github.io/Logging_1880/kartor/A 5097-2023 karta.png", "A 5097-2023")</f>
        <v/>
      </c>
      <c r="V41">
        <f>HYPERLINK("https://klasma.github.io/Logging_1880/klagomål/A 5097-2023 FSC-klagomål.docx", "A 5097-2023")</f>
        <v/>
      </c>
      <c r="W41">
        <f>HYPERLINK("https://klasma.github.io/Logging_1880/klagomålsmail/A 5097-2023 FSC-klagomål mail.docx", "A 5097-2023")</f>
        <v/>
      </c>
      <c r="X41">
        <f>HYPERLINK("https://klasma.github.io/Logging_1880/tillsyn/A 5097-2023 tillsynsbegäran.docx", "A 5097-2023")</f>
        <v/>
      </c>
      <c r="Y41">
        <f>HYPERLINK("https://klasma.github.io/Logging_1880/tillsynsmail/A 5097-2023 tillsynsbegäran mail.docx", "A 5097-2023")</f>
        <v/>
      </c>
    </row>
    <row r="42" ht="15" customHeight="1">
      <c r="A42" t="inlineStr">
        <is>
          <t>A 26890-2022</t>
        </is>
      </c>
      <c r="B42" s="1" t="n">
        <v>44740</v>
      </c>
      <c r="C42" s="1" t="n">
        <v>45935</v>
      </c>
      <c r="D42" t="inlineStr">
        <is>
          <t>ÖREBRO LÄN</t>
        </is>
      </c>
      <c r="E42" t="inlineStr">
        <is>
          <t>ÖREBRO</t>
        </is>
      </c>
      <c r="G42" t="n">
        <v>4.2</v>
      </c>
      <c r="H42" t="n">
        <v>1</v>
      </c>
      <c r="I42" t="n">
        <v>0</v>
      </c>
      <c r="J42" t="n">
        <v>0</v>
      </c>
      <c r="K42" t="n">
        <v>1</v>
      </c>
      <c r="L42" t="n">
        <v>0</v>
      </c>
      <c r="M42" t="n">
        <v>0</v>
      </c>
      <c r="N42" t="n">
        <v>0</v>
      </c>
      <c r="O42" t="n">
        <v>1</v>
      </c>
      <c r="P42" t="n">
        <v>1</v>
      </c>
      <c r="Q42" t="n">
        <v>1</v>
      </c>
      <c r="R42" s="2" t="inlineStr">
        <is>
          <t>Hällebräcka</t>
        </is>
      </c>
      <c r="S42">
        <f>HYPERLINK("https://klasma.github.io/Logging_1880/artfynd/A 26890-2022 artfynd.xlsx", "A 26890-2022")</f>
        <v/>
      </c>
      <c r="T42">
        <f>HYPERLINK("https://klasma.github.io/Logging_1880/kartor/A 26890-2022 karta.png", "A 26890-2022")</f>
        <v/>
      </c>
      <c r="V42">
        <f>HYPERLINK("https://klasma.github.io/Logging_1880/klagomål/A 26890-2022 FSC-klagomål.docx", "A 26890-2022")</f>
        <v/>
      </c>
      <c r="W42">
        <f>HYPERLINK("https://klasma.github.io/Logging_1880/klagomålsmail/A 26890-2022 FSC-klagomål mail.docx", "A 26890-2022")</f>
        <v/>
      </c>
      <c r="X42">
        <f>HYPERLINK("https://klasma.github.io/Logging_1880/tillsyn/A 26890-2022 tillsynsbegäran.docx", "A 26890-2022")</f>
        <v/>
      </c>
      <c r="Y42">
        <f>HYPERLINK("https://klasma.github.io/Logging_1880/tillsynsmail/A 26890-2022 tillsynsbegäran mail.docx", "A 26890-2022")</f>
        <v/>
      </c>
    </row>
    <row r="43" ht="15" customHeight="1">
      <c r="A43" t="inlineStr">
        <is>
          <t>A 43332-2022</t>
        </is>
      </c>
      <c r="B43" s="1" t="n">
        <v>44834</v>
      </c>
      <c r="C43" s="1" t="n">
        <v>45935</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32105-2023</t>
        </is>
      </c>
      <c r="B44" s="1" t="n">
        <v>45119</v>
      </c>
      <c r="C44" s="1" t="n">
        <v>45935</v>
      </c>
      <c r="D44" t="inlineStr">
        <is>
          <t>ÖREBRO LÄN</t>
        </is>
      </c>
      <c r="E44" t="inlineStr">
        <is>
          <t>ÖREBRO</t>
        </is>
      </c>
      <c r="G44" t="n">
        <v>1.3</v>
      </c>
      <c r="H44" t="n">
        <v>1</v>
      </c>
      <c r="I44" t="n">
        <v>0</v>
      </c>
      <c r="J44" t="n">
        <v>1</v>
      </c>
      <c r="K44" t="n">
        <v>0</v>
      </c>
      <c r="L44" t="n">
        <v>0</v>
      </c>
      <c r="M44" t="n">
        <v>0</v>
      </c>
      <c r="N44" t="n">
        <v>0</v>
      </c>
      <c r="O44" t="n">
        <v>1</v>
      </c>
      <c r="P44" t="n">
        <v>0</v>
      </c>
      <c r="Q44" t="n">
        <v>1</v>
      </c>
      <c r="R44" s="2" t="inlineStr">
        <is>
          <t>Rödvingetrast</t>
        </is>
      </c>
      <c r="S44">
        <f>HYPERLINK("https://klasma.github.io/Logging_1880/artfynd/A 32105-2023 artfynd.xlsx", "A 32105-2023")</f>
        <v/>
      </c>
      <c r="T44">
        <f>HYPERLINK("https://klasma.github.io/Logging_1880/kartor/A 32105-2023 karta.png", "A 32105-2023")</f>
        <v/>
      </c>
      <c r="V44">
        <f>HYPERLINK("https://klasma.github.io/Logging_1880/klagomål/A 32105-2023 FSC-klagomål.docx", "A 32105-2023")</f>
        <v/>
      </c>
      <c r="W44">
        <f>HYPERLINK("https://klasma.github.io/Logging_1880/klagomålsmail/A 32105-2023 FSC-klagomål mail.docx", "A 32105-2023")</f>
        <v/>
      </c>
      <c r="X44">
        <f>HYPERLINK("https://klasma.github.io/Logging_1880/tillsyn/A 32105-2023 tillsynsbegäran.docx", "A 32105-2023")</f>
        <v/>
      </c>
      <c r="Y44">
        <f>HYPERLINK("https://klasma.github.io/Logging_1880/tillsynsmail/A 32105-2023 tillsynsbegäran mail.docx", "A 32105-2023")</f>
        <v/>
      </c>
      <c r="Z44">
        <f>HYPERLINK("https://klasma.github.io/Logging_1880/fåglar/A 32105-2023 prioriterade fågelarter.docx", "A 32105-2023")</f>
        <v/>
      </c>
    </row>
    <row r="45" ht="15" customHeight="1">
      <c r="A45" t="inlineStr">
        <is>
          <t>A 4014-2021</t>
        </is>
      </c>
      <c r="B45" s="1" t="n">
        <v>44218</v>
      </c>
      <c r="C45" s="1" t="n">
        <v>45935</v>
      </c>
      <c r="D45" t="inlineStr">
        <is>
          <t>ÖREBRO LÄN</t>
        </is>
      </c>
      <c r="E45" t="inlineStr">
        <is>
          <t>ÖREBRO</t>
        </is>
      </c>
      <c r="G45" t="n">
        <v>10.5</v>
      </c>
      <c r="H45" t="n">
        <v>0</v>
      </c>
      <c r="I45" t="n">
        <v>1</v>
      </c>
      <c r="J45" t="n">
        <v>0</v>
      </c>
      <c r="K45" t="n">
        <v>0</v>
      </c>
      <c r="L45" t="n">
        <v>0</v>
      </c>
      <c r="M45" t="n">
        <v>0</v>
      </c>
      <c r="N45" t="n">
        <v>0</v>
      </c>
      <c r="O45" t="n">
        <v>0</v>
      </c>
      <c r="P45" t="n">
        <v>0</v>
      </c>
      <c r="Q45" t="n">
        <v>1</v>
      </c>
      <c r="R45" s="2" t="inlineStr">
        <is>
          <t>Springkorn</t>
        </is>
      </c>
      <c r="S45">
        <f>HYPERLINK("https://klasma.github.io/Logging_1880/artfynd/A 4014-2021 artfynd.xlsx", "A 4014-2021")</f>
        <v/>
      </c>
      <c r="T45">
        <f>HYPERLINK("https://klasma.github.io/Logging_1880/kartor/A 4014-2021 karta.png", "A 4014-2021")</f>
        <v/>
      </c>
      <c r="V45">
        <f>HYPERLINK("https://klasma.github.io/Logging_1880/klagomål/A 4014-2021 FSC-klagomål.docx", "A 4014-2021")</f>
        <v/>
      </c>
      <c r="W45">
        <f>HYPERLINK("https://klasma.github.io/Logging_1880/klagomålsmail/A 4014-2021 FSC-klagomål mail.docx", "A 4014-2021")</f>
        <v/>
      </c>
      <c r="X45">
        <f>HYPERLINK("https://klasma.github.io/Logging_1880/tillsyn/A 4014-2021 tillsynsbegäran.docx", "A 4014-2021")</f>
        <v/>
      </c>
      <c r="Y45">
        <f>HYPERLINK("https://klasma.github.io/Logging_1880/tillsynsmail/A 4014-2021 tillsynsbegäran mail.docx", "A 4014-2021")</f>
        <v/>
      </c>
    </row>
    <row r="46" ht="15" customHeight="1">
      <c r="A46" t="inlineStr">
        <is>
          <t>A 44744-2024</t>
        </is>
      </c>
      <c r="B46" s="1" t="n">
        <v>45574.59789351852</v>
      </c>
      <c r="C46" s="1" t="n">
        <v>45935</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20247-2023</t>
        </is>
      </c>
      <c r="B47" s="1" t="n">
        <v>45055</v>
      </c>
      <c r="C47" s="1" t="n">
        <v>45935</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22604-2024</t>
        </is>
      </c>
      <c r="B48" s="1" t="n">
        <v>45447</v>
      </c>
      <c r="C48" s="1" t="n">
        <v>45935</v>
      </c>
      <c r="D48" t="inlineStr">
        <is>
          <t>ÖREBRO LÄN</t>
        </is>
      </c>
      <c r="E48" t="inlineStr">
        <is>
          <t>ÖREBRO</t>
        </is>
      </c>
      <c r="G48" t="n">
        <v>4.4</v>
      </c>
      <c r="H48" t="n">
        <v>0</v>
      </c>
      <c r="I48" t="n">
        <v>0</v>
      </c>
      <c r="J48" t="n">
        <v>1</v>
      </c>
      <c r="K48" t="n">
        <v>0</v>
      </c>
      <c r="L48" t="n">
        <v>0</v>
      </c>
      <c r="M48" t="n">
        <v>0</v>
      </c>
      <c r="N48" t="n">
        <v>0</v>
      </c>
      <c r="O48" t="n">
        <v>1</v>
      </c>
      <c r="P48" t="n">
        <v>0</v>
      </c>
      <c r="Q48" t="n">
        <v>1</v>
      </c>
      <c r="R48" s="2" t="inlineStr">
        <is>
          <t>Månlåsbräken</t>
        </is>
      </c>
      <c r="S48">
        <f>HYPERLINK("https://klasma.github.io/Logging_1880/artfynd/A 22604-2024 artfynd.xlsx", "A 22604-2024")</f>
        <v/>
      </c>
      <c r="T48">
        <f>HYPERLINK("https://klasma.github.io/Logging_1880/kartor/A 22604-2024 karta.png", "A 22604-2024")</f>
        <v/>
      </c>
      <c r="V48">
        <f>HYPERLINK("https://klasma.github.io/Logging_1880/klagomål/A 22604-2024 FSC-klagomål.docx", "A 22604-2024")</f>
        <v/>
      </c>
      <c r="W48">
        <f>HYPERLINK("https://klasma.github.io/Logging_1880/klagomålsmail/A 22604-2024 FSC-klagomål mail.docx", "A 22604-2024")</f>
        <v/>
      </c>
      <c r="X48">
        <f>HYPERLINK("https://klasma.github.io/Logging_1880/tillsyn/A 22604-2024 tillsynsbegäran.docx", "A 22604-2024")</f>
        <v/>
      </c>
      <c r="Y48">
        <f>HYPERLINK("https://klasma.github.io/Logging_1880/tillsynsmail/A 22604-2024 tillsynsbegäran mail.docx", "A 22604-2024")</f>
        <v/>
      </c>
    </row>
    <row r="49" ht="15" customHeight="1">
      <c r="A49" t="inlineStr">
        <is>
          <t>A 11501-2025</t>
        </is>
      </c>
      <c r="B49" s="1" t="n">
        <v>45726</v>
      </c>
      <c r="C49" s="1" t="n">
        <v>45935</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58966-2020</t>
        </is>
      </c>
      <c r="B50" s="1" t="n">
        <v>44146</v>
      </c>
      <c r="C50" s="1" t="n">
        <v>45935</v>
      </c>
      <c r="D50" t="inlineStr">
        <is>
          <t>ÖREBRO LÄN</t>
        </is>
      </c>
      <c r="E50" t="inlineStr">
        <is>
          <t>ÖREBRO</t>
        </is>
      </c>
      <c r="F50" t="inlineStr">
        <is>
          <t>Övriga Aktiebolag</t>
        </is>
      </c>
      <c r="G50" t="n">
        <v>1.2</v>
      </c>
      <c r="H50" t="n">
        <v>1</v>
      </c>
      <c r="I50" t="n">
        <v>0</v>
      </c>
      <c r="J50" t="n">
        <v>1</v>
      </c>
      <c r="K50" t="n">
        <v>0</v>
      </c>
      <c r="L50" t="n">
        <v>0</v>
      </c>
      <c r="M50" t="n">
        <v>0</v>
      </c>
      <c r="N50" t="n">
        <v>0</v>
      </c>
      <c r="O50" t="n">
        <v>1</v>
      </c>
      <c r="P50" t="n">
        <v>0</v>
      </c>
      <c r="Q50" t="n">
        <v>1</v>
      </c>
      <c r="R50" s="2" t="inlineStr">
        <is>
          <t>Kråka</t>
        </is>
      </c>
      <c r="S50">
        <f>HYPERLINK("https://klasma.github.io/Logging_1880/artfynd/A 58966-2020 artfynd.xlsx", "A 58966-2020")</f>
        <v/>
      </c>
      <c r="T50">
        <f>HYPERLINK("https://klasma.github.io/Logging_1880/kartor/A 58966-2020 karta.png", "A 58966-2020")</f>
        <v/>
      </c>
      <c r="V50">
        <f>HYPERLINK("https://klasma.github.io/Logging_1880/klagomål/A 58966-2020 FSC-klagomål.docx", "A 58966-2020")</f>
        <v/>
      </c>
      <c r="W50">
        <f>HYPERLINK("https://klasma.github.io/Logging_1880/klagomålsmail/A 58966-2020 FSC-klagomål mail.docx", "A 58966-2020")</f>
        <v/>
      </c>
      <c r="X50">
        <f>HYPERLINK("https://klasma.github.io/Logging_1880/tillsyn/A 58966-2020 tillsynsbegäran.docx", "A 58966-2020")</f>
        <v/>
      </c>
      <c r="Y50">
        <f>HYPERLINK("https://klasma.github.io/Logging_1880/tillsynsmail/A 58966-2020 tillsynsbegäran mail.docx", "A 58966-2020")</f>
        <v/>
      </c>
      <c r="Z50">
        <f>HYPERLINK("https://klasma.github.io/Logging_1880/fåglar/A 58966-2020 prioriterade fågelarter.docx", "A 58966-2020")</f>
        <v/>
      </c>
    </row>
    <row r="51" ht="15" customHeight="1">
      <c r="A51" t="inlineStr">
        <is>
          <t>A 57920-2024</t>
        </is>
      </c>
      <c r="B51" s="1" t="n">
        <v>45631.50894675926</v>
      </c>
      <c r="C51" s="1" t="n">
        <v>45935</v>
      </c>
      <c r="D51" t="inlineStr">
        <is>
          <t>ÖREBRO LÄN</t>
        </is>
      </c>
      <c r="E51" t="inlineStr">
        <is>
          <t>ÖREBRO</t>
        </is>
      </c>
      <c r="G51" t="n">
        <v>2.3</v>
      </c>
      <c r="H51" t="n">
        <v>1</v>
      </c>
      <c r="I51" t="n">
        <v>0</v>
      </c>
      <c r="J51" t="n">
        <v>0</v>
      </c>
      <c r="K51" t="n">
        <v>0</v>
      </c>
      <c r="L51" t="n">
        <v>0</v>
      </c>
      <c r="M51" t="n">
        <v>0</v>
      </c>
      <c r="N51" t="n">
        <v>0</v>
      </c>
      <c r="O51" t="n">
        <v>0</v>
      </c>
      <c r="P51" t="n">
        <v>0</v>
      </c>
      <c r="Q51" t="n">
        <v>1</v>
      </c>
      <c r="R51" s="2" t="inlineStr">
        <is>
          <t>Kungsfågel</t>
        </is>
      </c>
      <c r="S51">
        <f>HYPERLINK("https://klasma.github.io/Logging_1880/artfynd/A 57920-2024 artfynd.xlsx", "A 57920-2024")</f>
        <v/>
      </c>
      <c r="T51">
        <f>HYPERLINK("https://klasma.github.io/Logging_1880/kartor/A 57920-2024 karta.png", "A 57920-2024")</f>
        <v/>
      </c>
      <c r="V51">
        <f>HYPERLINK("https://klasma.github.io/Logging_1880/klagomål/A 57920-2024 FSC-klagomål.docx", "A 57920-2024")</f>
        <v/>
      </c>
      <c r="W51">
        <f>HYPERLINK("https://klasma.github.io/Logging_1880/klagomålsmail/A 57920-2024 FSC-klagomål mail.docx", "A 57920-2024")</f>
        <v/>
      </c>
      <c r="X51">
        <f>HYPERLINK("https://klasma.github.io/Logging_1880/tillsyn/A 57920-2024 tillsynsbegäran.docx", "A 57920-2024")</f>
        <v/>
      </c>
      <c r="Y51">
        <f>HYPERLINK("https://klasma.github.io/Logging_1880/tillsynsmail/A 57920-2024 tillsynsbegäran mail.docx", "A 57920-2024")</f>
        <v/>
      </c>
      <c r="Z51">
        <f>HYPERLINK("https://klasma.github.io/Logging_1880/fåglar/A 57920-2024 prioriterade fågelarter.docx", "A 57920-2024")</f>
        <v/>
      </c>
    </row>
    <row r="52" ht="15" customHeight="1">
      <c r="A52" t="inlineStr">
        <is>
          <t>A 44389-2021</t>
        </is>
      </c>
      <c r="B52" s="1" t="n">
        <v>44435</v>
      </c>
      <c r="C52" s="1" t="n">
        <v>45935</v>
      </c>
      <c r="D52" t="inlineStr">
        <is>
          <t>ÖREBRO LÄN</t>
        </is>
      </c>
      <c r="E52" t="inlineStr">
        <is>
          <t>ÖREBRO</t>
        </is>
      </c>
      <c r="G52" t="n">
        <v>2.2</v>
      </c>
      <c r="H52" t="n">
        <v>1</v>
      </c>
      <c r="I52" t="n">
        <v>0</v>
      </c>
      <c r="J52" t="n">
        <v>0</v>
      </c>
      <c r="K52" t="n">
        <v>1</v>
      </c>
      <c r="L52" t="n">
        <v>0</v>
      </c>
      <c r="M52" t="n">
        <v>0</v>
      </c>
      <c r="N52" t="n">
        <v>0</v>
      </c>
      <c r="O52" t="n">
        <v>1</v>
      </c>
      <c r="P52" t="n">
        <v>1</v>
      </c>
      <c r="Q52" t="n">
        <v>1</v>
      </c>
      <c r="R52" s="2" t="inlineStr">
        <is>
          <t>Knärot</t>
        </is>
      </c>
      <c r="S52">
        <f>HYPERLINK("https://klasma.github.io/Logging_1880/artfynd/A 44389-2021 artfynd.xlsx", "A 44389-2021")</f>
        <v/>
      </c>
      <c r="T52">
        <f>HYPERLINK("https://klasma.github.io/Logging_1880/kartor/A 44389-2021 karta.png", "A 44389-2021")</f>
        <v/>
      </c>
      <c r="U52">
        <f>HYPERLINK("https://klasma.github.io/Logging_1880/knärot/A 44389-2021 karta knärot.png", "A 44389-2021")</f>
        <v/>
      </c>
      <c r="V52">
        <f>HYPERLINK("https://klasma.github.io/Logging_1880/klagomål/A 44389-2021 FSC-klagomål.docx", "A 44389-2021")</f>
        <v/>
      </c>
      <c r="W52">
        <f>HYPERLINK("https://klasma.github.io/Logging_1880/klagomålsmail/A 44389-2021 FSC-klagomål mail.docx", "A 44389-2021")</f>
        <v/>
      </c>
      <c r="X52">
        <f>HYPERLINK("https://klasma.github.io/Logging_1880/tillsyn/A 44389-2021 tillsynsbegäran.docx", "A 44389-2021")</f>
        <v/>
      </c>
      <c r="Y52">
        <f>HYPERLINK("https://klasma.github.io/Logging_1880/tillsynsmail/A 44389-2021 tillsynsbegäran mail.docx", "A 44389-2021")</f>
        <v/>
      </c>
    </row>
    <row r="53" ht="15" customHeight="1">
      <c r="A53" t="inlineStr">
        <is>
          <t>A 23998-2025</t>
        </is>
      </c>
      <c r="B53" s="1" t="n">
        <v>45796.42209490741</v>
      </c>
      <c r="C53" s="1" t="n">
        <v>45935</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42636-2023</t>
        </is>
      </c>
      <c r="B54" s="1" t="n">
        <v>45181.49559027778</v>
      </c>
      <c r="C54" s="1" t="n">
        <v>45935</v>
      </c>
      <c r="D54" t="inlineStr">
        <is>
          <t>ÖREBRO LÄN</t>
        </is>
      </c>
      <c r="E54" t="inlineStr">
        <is>
          <t>ÖREBRO</t>
        </is>
      </c>
      <c r="G54" t="n">
        <v>1.7</v>
      </c>
      <c r="H54" t="n">
        <v>0</v>
      </c>
      <c r="I54" t="n">
        <v>0</v>
      </c>
      <c r="J54" t="n">
        <v>1</v>
      </c>
      <c r="K54" t="n">
        <v>0</v>
      </c>
      <c r="L54" t="n">
        <v>0</v>
      </c>
      <c r="M54" t="n">
        <v>0</v>
      </c>
      <c r="N54" t="n">
        <v>0</v>
      </c>
      <c r="O54" t="n">
        <v>1</v>
      </c>
      <c r="P54" t="n">
        <v>0</v>
      </c>
      <c r="Q54" t="n">
        <v>1</v>
      </c>
      <c r="R54" s="2" t="inlineStr">
        <is>
          <t>Igelkott</t>
        </is>
      </c>
      <c r="S54">
        <f>HYPERLINK("https://klasma.github.io/Logging_1880/artfynd/A 42636-2023 artfynd.xlsx", "A 42636-2023")</f>
        <v/>
      </c>
      <c r="T54">
        <f>HYPERLINK("https://klasma.github.io/Logging_1880/kartor/A 42636-2023 karta.png", "A 42636-2023")</f>
        <v/>
      </c>
      <c r="V54">
        <f>HYPERLINK("https://klasma.github.io/Logging_1880/klagomål/A 42636-2023 FSC-klagomål.docx", "A 42636-2023")</f>
        <v/>
      </c>
      <c r="W54">
        <f>HYPERLINK("https://klasma.github.io/Logging_1880/klagomålsmail/A 42636-2023 FSC-klagomål mail.docx", "A 42636-2023")</f>
        <v/>
      </c>
      <c r="X54">
        <f>HYPERLINK("https://klasma.github.io/Logging_1880/tillsyn/A 42636-2023 tillsynsbegäran.docx", "A 42636-2023")</f>
        <v/>
      </c>
      <c r="Y54">
        <f>HYPERLINK("https://klasma.github.io/Logging_1880/tillsynsmail/A 42636-2023 tillsynsbegäran mail.docx", "A 42636-2023")</f>
        <v/>
      </c>
    </row>
    <row r="55" ht="15" customHeight="1">
      <c r="A55" t="inlineStr">
        <is>
          <t>A 55904-2024</t>
        </is>
      </c>
      <c r="B55" s="1" t="n">
        <v>45623.58190972222</v>
      </c>
      <c r="C55" s="1" t="n">
        <v>45935</v>
      </c>
      <c r="D55" t="inlineStr">
        <is>
          <t>ÖREBRO LÄN</t>
        </is>
      </c>
      <c r="E55" t="inlineStr">
        <is>
          <t>ÖREBRO</t>
        </is>
      </c>
      <c r="G55" t="n">
        <v>1.2</v>
      </c>
      <c r="H55" t="n">
        <v>1</v>
      </c>
      <c r="I55" t="n">
        <v>0</v>
      </c>
      <c r="J55" t="n">
        <v>0</v>
      </c>
      <c r="K55" t="n">
        <v>0</v>
      </c>
      <c r="L55" t="n">
        <v>0</v>
      </c>
      <c r="M55" t="n">
        <v>0</v>
      </c>
      <c r="N55" t="n">
        <v>0</v>
      </c>
      <c r="O55" t="n">
        <v>0</v>
      </c>
      <c r="P55" t="n">
        <v>0</v>
      </c>
      <c r="Q55" t="n">
        <v>1</v>
      </c>
      <c r="R55" s="2" t="inlineStr">
        <is>
          <t>Trana</t>
        </is>
      </c>
      <c r="S55">
        <f>HYPERLINK("https://klasma.github.io/Logging_1880/artfynd/A 55904-2024 artfynd.xlsx", "A 55904-2024")</f>
        <v/>
      </c>
      <c r="T55">
        <f>HYPERLINK("https://klasma.github.io/Logging_1880/kartor/A 55904-2024 karta.png", "A 55904-2024")</f>
        <v/>
      </c>
      <c r="V55">
        <f>HYPERLINK("https://klasma.github.io/Logging_1880/klagomål/A 55904-2024 FSC-klagomål.docx", "A 55904-2024")</f>
        <v/>
      </c>
      <c r="W55">
        <f>HYPERLINK("https://klasma.github.io/Logging_1880/klagomålsmail/A 55904-2024 FSC-klagomål mail.docx", "A 55904-2024")</f>
        <v/>
      </c>
      <c r="X55">
        <f>HYPERLINK("https://klasma.github.io/Logging_1880/tillsyn/A 55904-2024 tillsynsbegäran.docx", "A 55904-2024")</f>
        <v/>
      </c>
      <c r="Y55">
        <f>HYPERLINK("https://klasma.github.io/Logging_1880/tillsynsmail/A 55904-2024 tillsynsbegäran mail.docx", "A 55904-2024")</f>
        <v/>
      </c>
      <c r="Z55">
        <f>HYPERLINK("https://klasma.github.io/Logging_1880/fåglar/A 55904-2024 prioriterade fågelarter.docx", "A 55904-2024")</f>
        <v/>
      </c>
    </row>
    <row r="56" ht="15" customHeight="1">
      <c r="A56" t="inlineStr">
        <is>
          <t>A 15621-2021</t>
        </is>
      </c>
      <c r="B56" s="1" t="n">
        <v>44285</v>
      </c>
      <c r="C56" s="1" t="n">
        <v>45935</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2077-2023</t>
        </is>
      </c>
      <c r="B57" s="1" t="n">
        <v>44939</v>
      </c>
      <c r="C57" s="1" t="n">
        <v>45935</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28936-2025</t>
        </is>
      </c>
      <c r="B58" s="1" t="n">
        <v>45820.69287037037</v>
      </c>
      <c r="C58" s="1" t="n">
        <v>45935</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30725-2023</t>
        </is>
      </c>
      <c r="B59" s="1" t="n">
        <v>45112.61451388889</v>
      </c>
      <c r="C59" s="1" t="n">
        <v>45935</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32204-2025</t>
        </is>
      </c>
      <c r="B60" s="1" t="n">
        <v>45835.58074074074</v>
      </c>
      <c r="C60" s="1" t="n">
        <v>45935</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32226-2025</t>
        </is>
      </c>
      <c r="B61" s="1" t="n">
        <v>45835.59478009259</v>
      </c>
      <c r="C61" s="1" t="n">
        <v>45935</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9406-2021</t>
        </is>
      </c>
      <c r="B62" s="1" t="n">
        <v>44251</v>
      </c>
      <c r="C62" s="1" t="n">
        <v>45935</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45935</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45935</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45935</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45935</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45935</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45935</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45935</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45935</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45935</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45935</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45935</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45935</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45935</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45935</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45935</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45935</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45935</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45935</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45935</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45935</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45935</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45935</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45935</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45935</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45935</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45935</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45935</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45935</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45935</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45935</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45935</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45935</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45935</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45935</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45935</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45935</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45935</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45935</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45935</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45935</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45935</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45935</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45935</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45935</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45935</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45935</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45935</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45935</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45935</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45935</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45935</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45935</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45935</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45935</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45935</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45935</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21567-2022</t>
        </is>
      </c>
      <c r="B119" s="1" t="n">
        <v>44706</v>
      </c>
      <c r="C119" s="1" t="n">
        <v>45935</v>
      </c>
      <c r="D119" t="inlineStr">
        <is>
          <t>ÖREBRO LÄN</t>
        </is>
      </c>
      <c r="E119" t="inlineStr">
        <is>
          <t>ÖREBRO</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58138-2021</t>
        </is>
      </c>
      <c r="B120" s="1" t="n">
        <v>44487</v>
      </c>
      <c r="C120" s="1" t="n">
        <v>45935</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18321-2022</t>
        </is>
      </c>
      <c r="B121" s="1" t="n">
        <v>44685</v>
      </c>
      <c r="C121" s="1" t="n">
        <v>45935</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45935</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18047-2022</t>
        </is>
      </c>
      <c r="B123" s="1" t="n">
        <v>44684</v>
      </c>
      <c r="C123" s="1" t="n">
        <v>45935</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56138-2020</t>
        </is>
      </c>
      <c r="B124" s="1" t="n">
        <v>44133</v>
      </c>
      <c r="C124" s="1" t="n">
        <v>45935</v>
      </c>
      <c r="D124" t="inlineStr">
        <is>
          <t>ÖREBRO LÄN</t>
        </is>
      </c>
      <c r="E124" t="inlineStr">
        <is>
          <t>ÖREBRO</t>
        </is>
      </c>
      <c r="F124" t="inlineStr">
        <is>
          <t>Allmännings- och besparingsskogar</t>
        </is>
      </c>
      <c r="G124" t="n">
        <v>4.9</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45935</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45935</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69613-2020</t>
        </is>
      </c>
      <c r="B127" s="1" t="n">
        <v>44195</v>
      </c>
      <c r="C127" s="1" t="n">
        <v>45935</v>
      </c>
      <c r="D127" t="inlineStr">
        <is>
          <t>ÖREBRO LÄN</t>
        </is>
      </c>
      <c r="E127" t="inlineStr">
        <is>
          <t>ÖREBRO</t>
        </is>
      </c>
      <c r="G127" t="n">
        <v>4.7</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45935</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16258-2022</t>
        </is>
      </c>
      <c r="B129" s="1" t="n">
        <v>44670</v>
      </c>
      <c r="C129" s="1" t="n">
        <v>45935</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26509-2021</t>
        </is>
      </c>
      <c r="B130" s="1" t="n">
        <v>44348.45107638889</v>
      </c>
      <c r="C130" s="1" t="n">
        <v>45935</v>
      </c>
      <c r="D130" t="inlineStr">
        <is>
          <t>ÖREBRO LÄN</t>
        </is>
      </c>
      <c r="E130" t="inlineStr">
        <is>
          <t>ÖREBRO</t>
        </is>
      </c>
      <c r="G130" t="n">
        <v>2.5</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45935</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45935</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7117-2021</t>
        </is>
      </c>
      <c r="B133" s="1" t="n">
        <v>44238</v>
      </c>
      <c r="C133" s="1" t="n">
        <v>45935</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45935</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45935</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45935</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45935</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45935</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44165-2022</t>
        </is>
      </c>
      <c r="B139" s="1" t="n">
        <v>44839</v>
      </c>
      <c r="C139" s="1" t="n">
        <v>45935</v>
      </c>
      <c r="D139" t="inlineStr">
        <is>
          <t>ÖREBRO LÄN</t>
        </is>
      </c>
      <c r="E139" t="inlineStr">
        <is>
          <t>ÖREBRO</t>
        </is>
      </c>
      <c r="G139" t="n">
        <v>0.5</v>
      </c>
      <c r="H139" t="n">
        <v>0</v>
      </c>
      <c r="I139" t="n">
        <v>0</v>
      </c>
      <c r="J139" t="n">
        <v>0</v>
      </c>
      <c r="K139" t="n">
        <v>0</v>
      </c>
      <c r="L139" t="n">
        <v>0</v>
      </c>
      <c r="M139" t="n">
        <v>0</v>
      </c>
      <c r="N139" t="n">
        <v>0</v>
      </c>
      <c r="O139" t="n">
        <v>0</v>
      </c>
      <c r="P139" t="n">
        <v>0</v>
      </c>
      <c r="Q139" t="n">
        <v>0</v>
      </c>
      <c r="R139" s="2" t="inlineStr"/>
    </row>
    <row r="140" ht="15" customHeight="1">
      <c r="A140" t="inlineStr">
        <is>
          <t>A 12478-2022</t>
        </is>
      </c>
      <c r="B140" s="1" t="n">
        <v>44638</v>
      </c>
      <c r="C140" s="1" t="n">
        <v>45935</v>
      </c>
      <c r="D140" t="inlineStr">
        <is>
          <t>ÖREBRO LÄN</t>
        </is>
      </c>
      <c r="E140" t="inlineStr">
        <is>
          <t>ÖREBRO</t>
        </is>
      </c>
      <c r="F140" t="inlineStr">
        <is>
          <t>Kyrkan</t>
        </is>
      </c>
      <c r="G140" t="n">
        <v>1.4</v>
      </c>
      <c r="H140" t="n">
        <v>0</v>
      </c>
      <c r="I140" t="n">
        <v>0</v>
      </c>
      <c r="J140" t="n">
        <v>0</v>
      </c>
      <c r="K140" t="n">
        <v>0</v>
      </c>
      <c r="L140" t="n">
        <v>0</v>
      </c>
      <c r="M140" t="n">
        <v>0</v>
      </c>
      <c r="N140" t="n">
        <v>0</v>
      </c>
      <c r="O140" t="n">
        <v>0</v>
      </c>
      <c r="P140" t="n">
        <v>0</v>
      </c>
      <c r="Q140" t="n">
        <v>0</v>
      </c>
      <c r="R140" s="2" t="inlineStr"/>
    </row>
    <row r="141" ht="15" customHeight="1">
      <c r="A141" t="inlineStr">
        <is>
          <t>A 5401-2022</t>
        </is>
      </c>
      <c r="B141" s="1" t="n">
        <v>44595</v>
      </c>
      <c r="C141" s="1" t="n">
        <v>45935</v>
      </c>
      <c r="D141" t="inlineStr">
        <is>
          <t>ÖREBRO LÄN</t>
        </is>
      </c>
      <c r="E141" t="inlineStr">
        <is>
          <t>ÖREBRO</t>
        </is>
      </c>
      <c r="G141" t="n">
        <v>2.3</v>
      </c>
      <c r="H141" t="n">
        <v>0</v>
      </c>
      <c r="I141" t="n">
        <v>0</v>
      </c>
      <c r="J141" t="n">
        <v>0</v>
      </c>
      <c r="K141" t="n">
        <v>0</v>
      </c>
      <c r="L141" t="n">
        <v>0</v>
      </c>
      <c r="M141" t="n">
        <v>0</v>
      </c>
      <c r="N141" t="n">
        <v>0</v>
      </c>
      <c r="O141" t="n">
        <v>0</v>
      </c>
      <c r="P141" t="n">
        <v>0</v>
      </c>
      <c r="Q141" t="n">
        <v>0</v>
      </c>
      <c r="R141" s="2" t="inlineStr"/>
    </row>
    <row r="142" ht="15" customHeight="1">
      <c r="A142" t="inlineStr">
        <is>
          <t>A 60311-2020</t>
        </is>
      </c>
      <c r="B142" s="1" t="n">
        <v>44151</v>
      </c>
      <c r="C142" s="1" t="n">
        <v>45935</v>
      </c>
      <c r="D142" t="inlineStr">
        <is>
          <t>ÖREBRO LÄN</t>
        </is>
      </c>
      <c r="E142" t="inlineStr">
        <is>
          <t>ÖREBRO</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41553-2022</t>
        </is>
      </c>
      <c r="B143" s="1" t="n">
        <v>44827.3940625</v>
      </c>
      <c r="C143" s="1" t="n">
        <v>45935</v>
      </c>
      <c r="D143" t="inlineStr">
        <is>
          <t>ÖREBRO LÄN</t>
        </is>
      </c>
      <c r="E143" t="inlineStr">
        <is>
          <t>ÖREBRO</t>
        </is>
      </c>
      <c r="G143" t="n">
        <v>3.7</v>
      </c>
      <c r="H143" t="n">
        <v>0</v>
      </c>
      <c r="I143" t="n">
        <v>0</v>
      </c>
      <c r="J143" t="n">
        <v>0</v>
      </c>
      <c r="K143" t="n">
        <v>0</v>
      </c>
      <c r="L143" t="n">
        <v>0</v>
      </c>
      <c r="M143" t="n">
        <v>0</v>
      </c>
      <c r="N143" t="n">
        <v>0</v>
      </c>
      <c r="O143" t="n">
        <v>0</v>
      </c>
      <c r="P143" t="n">
        <v>0</v>
      </c>
      <c r="Q143" t="n">
        <v>0</v>
      </c>
      <c r="R143" s="2" t="inlineStr"/>
    </row>
    <row r="144" ht="15" customHeight="1">
      <c r="A144" t="inlineStr">
        <is>
          <t>A 14562-2022</t>
        </is>
      </c>
      <c r="B144" s="1" t="n">
        <v>44655</v>
      </c>
      <c r="C144" s="1" t="n">
        <v>45935</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45935</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61232-2021</t>
        </is>
      </c>
      <c r="B146" s="1" t="n">
        <v>44498</v>
      </c>
      <c r="C146" s="1" t="n">
        <v>45935</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45935</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63247-2021</t>
        </is>
      </c>
      <c r="B148" s="1" t="n">
        <v>44505</v>
      </c>
      <c r="C148" s="1" t="n">
        <v>45935</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10799-2024</t>
        </is>
      </c>
      <c r="B149" s="1" t="n">
        <v>45369</v>
      </c>
      <c r="C149" s="1" t="n">
        <v>45935</v>
      </c>
      <c r="D149" t="inlineStr">
        <is>
          <t>ÖREBRO LÄN</t>
        </is>
      </c>
      <c r="E149" t="inlineStr">
        <is>
          <t>ÖREBRO</t>
        </is>
      </c>
      <c r="G149" t="n">
        <v>5.8</v>
      </c>
      <c r="H149" t="n">
        <v>0</v>
      </c>
      <c r="I149" t="n">
        <v>0</v>
      </c>
      <c r="J149" t="n">
        <v>0</v>
      </c>
      <c r="K149" t="n">
        <v>0</v>
      </c>
      <c r="L149" t="n">
        <v>0</v>
      </c>
      <c r="M149" t="n">
        <v>0</v>
      </c>
      <c r="N149" t="n">
        <v>0</v>
      </c>
      <c r="O149" t="n">
        <v>0</v>
      </c>
      <c r="P149" t="n">
        <v>0</v>
      </c>
      <c r="Q149" t="n">
        <v>0</v>
      </c>
      <c r="R149" s="2" t="inlineStr"/>
    </row>
    <row r="150" ht="15" customHeight="1">
      <c r="A150" t="inlineStr">
        <is>
          <t>A 46757-2021</t>
        </is>
      </c>
      <c r="B150" s="1" t="n">
        <v>44445</v>
      </c>
      <c r="C150" s="1" t="n">
        <v>45935</v>
      </c>
      <c r="D150" t="inlineStr">
        <is>
          <t>ÖREBRO LÄN</t>
        </is>
      </c>
      <c r="E150" t="inlineStr">
        <is>
          <t>ÖREBRO</t>
        </is>
      </c>
      <c r="G150" t="n">
        <v>5.6</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45935</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57498-2021</t>
        </is>
      </c>
      <c r="B152" s="1" t="n">
        <v>44483</v>
      </c>
      <c r="C152" s="1" t="n">
        <v>45935</v>
      </c>
      <c r="D152" t="inlineStr">
        <is>
          <t>ÖREBRO LÄN</t>
        </is>
      </c>
      <c r="E152" t="inlineStr">
        <is>
          <t>ÖREBRO</t>
        </is>
      </c>
      <c r="F152" t="inlineStr">
        <is>
          <t>Övriga Aktiebolag</t>
        </is>
      </c>
      <c r="G152" t="n">
        <v>2.7</v>
      </c>
      <c r="H152" t="n">
        <v>0</v>
      </c>
      <c r="I152" t="n">
        <v>0</v>
      </c>
      <c r="J152" t="n">
        <v>0</v>
      </c>
      <c r="K152" t="n">
        <v>0</v>
      </c>
      <c r="L152" t="n">
        <v>0</v>
      </c>
      <c r="M152" t="n">
        <v>0</v>
      </c>
      <c r="N152" t="n">
        <v>0</v>
      </c>
      <c r="O152" t="n">
        <v>0</v>
      </c>
      <c r="P152" t="n">
        <v>0</v>
      </c>
      <c r="Q152" t="n">
        <v>0</v>
      </c>
      <c r="R152" s="2" t="inlineStr"/>
    </row>
    <row r="153" ht="15" customHeight="1">
      <c r="A153" t="inlineStr">
        <is>
          <t>A 19458-2022</t>
        </is>
      </c>
      <c r="B153" s="1" t="n">
        <v>44693</v>
      </c>
      <c r="C153" s="1" t="n">
        <v>45935</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51268-2022</t>
        </is>
      </c>
      <c r="B154" s="1" t="n">
        <v>44868</v>
      </c>
      <c r="C154" s="1" t="n">
        <v>45935</v>
      </c>
      <c r="D154" t="inlineStr">
        <is>
          <t>ÖREBRO LÄN</t>
        </is>
      </c>
      <c r="E154" t="inlineStr">
        <is>
          <t>ÖREBRO</t>
        </is>
      </c>
      <c r="G154" t="n">
        <v>3.8</v>
      </c>
      <c r="H154" t="n">
        <v>0</v>
      </c>
      <c r="I154" t="n">
        <v>0</v>
      </c>
      <c r="J154" t="n">
        <v>0</v>
      </c>
      <c r="K154" t="n">
        <v>0</v>
      </c>
      <c r="L154" t="n">
        <v>0</v>
      </c>
      <c r="M154" t="n">
        <v>0</v>
      </c>
      <c r="N154" t="n">
        <v>0</v>
      </c>
      <c r="O154" t="n">
        <v>0</v>
      </c>
      <c r="P154" t="n">
        <v>0</v>
      </c>
      <c r="Q154" t="n">
        <v>0</v>
      </c>
      <c r="R154" s="2" t="inlineStr"/>
    </row>
    <row r="155" ht="15" customHeight="1">
      <c r="A155" t="inlineStr">
        <is>
          <t>A 33814-2021</t>
        </is>
      </c>
      <c r="B155" s="1" t="n">
        <v>44378</v>
      </c>
      <c r="C155" s="1" t="n">
        <v>45935</v>
      </c>
      <c r="D155" t="inlineStr">
        <is>
          <t>ÖREBRO LÄN</t>
        </is>
      </c>
      <c r="E155" t="inlineStr">
        <is>
          <t>ÖREBRO</t>
        </is>
      </c>
      <c r="F155" t="inlineStr">
        <is>
          <t>Kommuner</t>
        </is>
      </c>
      <c r="G155" t="n">
        <v>1.2</v>
      </c>
      <c r="H155" t="n">
        <v>0</v>
      </c>
      <c r="I155" t="n">
        <v>0</v>
      </c>
      <c r="J155" t="n">
        <v>0</v>
      </c>
      <c r="K155" t="n">
        <v>0</v>
      </c>
      <c r="L155" t="n">
        <v>0</v>
      </c>
      <c r="M155" t="n">
        <v>0</v>
      </c>
      <c r="N155" t="n">
        <v>0</v>
      </c>
      <c r="O155" t="n">
        <v>0</v>
      </c>
      <c r="P155" t="n">
        <v>0</v>
      </c>
      <c r="Q155" t="n">
        <v>0</v>
      </c>
      <c r="R155" s="2" t="inlineStr"/>
    </row>
    <row r="156" ht="15" customHeight="1">
      <c r="A156" t="inlineStr">
        <is>
          <t>A 5795-2024</t>
        </is>
      </c>
      <c r="B156" s="1" t="n">
        <v>45335.4531712963</v>
      </c>
      <c r="C156" s="1" t="n">
        <v>45935</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13631-2022</t>
        </is>
      </c>
      <c r="B157" s="1" t="n">
        <v>44648</v>
      </c>
      <c r="C157" s="1" t="n">
        <v>45935</v>
      </c>
      <c r="D157" t="inlineStr">
        <is>
          <t>ÖREBRO LÄN</t>
        </is>
      </c>
      <c r="E157" t="inlineStr">
        <is>
          <t>ÖREBRO</t>
        </is>
      </c>
      <c r="G157" t="n">
        <v>10.4</v>
      </c>
      <c r="H157" t="n">
        <v>0</v>
      </c>
      <c r="I157" t="n">
        <v>0</v>
      </c>
      <c r="J157" t="n">
        <v>0</v>
      </c>
      <c r="K157" t="n">
        <v>0</v>
      </c>
      <c r="L157" t="n">
        <v>0</v>
      </c>
      <c r="M157" t="n">
        <v>0</v>
      </c>
      <c r="N157" t="n">
        <v>0</v>
      </c>
      <c r="O157" t="n">
        <v>0</v>
      </c>
      <c r="P157" t="n">
        <v>0</v>
      </c>
      <c r="Q157" t="n">
        <v>0</v>
      </c>
      <c r="R157" s="2" t="inlineStr"/>
    </row>
    <row r="158" ht="15" customHeight="1">
      <c r="A158" t="inlineStr">
        <is>
          <t>A 6638-2022</t>
        </is>
      </c>
      <c r="B158" s="1" t="n">
        <v>44601</v>
      </c>
      <c r="C158" s="1" t="n">
        <v>45935</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20121-2024</t>
        </is>
      </c>
      <c r="B159" s="1" t="n">
        <v>45434</v>
      </c>
      <c r="C159" s="1" t="n">
        <v>45935</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20150-2024</t>
        </is>
      </c>
      <c r="B160" s="1" t="n">
        <v>45434.57969907407</v>
      </c>
      <c r="C160" s="1" t="n">
        <v>45935</v>
      </c>
      <c r="D160" t="inlineStr">
        <is>
          <t>ÖREBRO LÄN</t>
        </is>
      </c>
      <c r="E160" t="inlineStr">
        <is>
          <t>ÖREBRO</t>
        </is>
      </c>
      <c r="G160" t="n">
        <v>0.5</v>
      </c>
      <c r="H160" t="n">
        <v>0</v>
      </c>
      <c r="I160" t="n">
        <v>0</v>
      </c>
      <c r="J160" t="n">
        <v>0</v>
      </c>
      <c r="K160" t="n">
        <v>0</v>
      </c>
      <c r="L160" t="n">
        <v>0</v>
      </c>
      <c r="M160" t="n">
        <v>0</v>
      </c>
      <c r="N160" t="n">
        <v>0</v>
      </c>
      <c r="O160" t="n">
        <v>0</v>
      </c>
      <c r="P160" t="n">
        <v>0</v>
      </c>
      <c r="Q160" t="n">
        <v>0</v>
      </c>
      <c r="R160" s="2" t="inlineStr"/>
    </row>
    <row r="161" ht="15" customHeight="1">
      <c r="A161" t="inlineStr">
        <is>
          <t>A 62651-2020</t>
        </is>
      </c>
      <c r="B161" s="1" t="n">
        <v>44161</v>
      </c>
      <c r="C161" s="1" t="n">
        <v>45935</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767-2024</t>
        </is>
      </c>
      <c r="B162" s="1" t="n">
        <v>45300.51892361111</v>
      </c>
      <c r="C162" s="1" t="n">
        <v>45935</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52441-2024</t>
        </is>
      </c>
      <c r="B163" s="1" t="n">
        <v>45609.48451388889</v>
      </c>
      <c r="C163" s="1" t="n">
        <v>45935</v>
      </c>
      <c r="D163" t="inlineStr">
        <is>
          <t>ÖREBRO LÄN</t>
        </is>
      </c>
      <c r="E163" t="inlineStr">
        <is>
          <t>ÖREBRO</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58611-2024</t>
        </is>
      </c>
      <c r="B164" s="1" t="n">
        <v>45635.55555555555</v>
      </c>
      <c r="C164" s="1" t="n">
        <v>45935</v>
      </c>
      <c r="D164" t="inlineStr">
        <is>
          <t>ÖREBRO LÄN</t>
        </is>
      </c>
      <c r="E164" t="inlineStr">
        <is>
          <t>ÖREBRO</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45935</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2153-2023</t>
        </is>
      </c>
      <c r="B166" s="1" t="n">
        <v>44941</v>
      </c>
      <c r="C166" s="1" t="n">
        <v>45935</v>
      </c>
      <c r="D166" t="inlineStr">
        <is>
          <t>ÖREBRO LÄN</t>
        </is>
      </c>
      <c r="E166" t="inlineStr">
        <is>
          <t>ÖREBRO</t>
        </is>
      </c>
      <c r="G166" t="n">
        <v>6.3</v>
      </c>
      <c r="H166" t="n">
        <v>0</v>
      </c>
      <c r="I166" t="n">
        <v>0</v>
      </c>
      <c r="J166" t="n">
        <v>0</v>
      </c>
      <c r="K166" t="n">
        <v>0</v>
      </c>
      <c r="L166" t="n">
        <v>0</v>
      </c>
      <c r="M166" t="n">
        <v>0</v>
      </c>
      <c r="N166" t="n">
        <v>0</v>
      </c>
      <c r="O166" t="n">
        <v>0</v>
      </c>
      <c r="P166" t="n">
        <v>0</v>
      </c>
      <c r="Q166" t="n">
        <v>0</v>
      </c>
      <c r="R166" s="2" t="inlineStr"/>
    </row>
    <row r="167" ht="15" customHeight="1">
      <c r="A167" t="inlineStr">
        <is>
          <t>A 46834-2022</t>
        </is>
      </c>
      <c r="B167" s="1" t="n">
        <v>44851</v>
      </c>
      <c r="C167" s="1" t="n">
        <v>45935</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3789-2023</t>
        </is>
      </c>
      <c r="B168" s="1" t="n">
        <v>44951</v>
      </c>
      <c r="C168" s="1" t="n">
        <v>45935</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10829-2023</t>
        </is>
      </c>
      <c r="B169" s="1" t="n">
        <v>44990.88512731482</v>
      </c>
      <c r="C169" s="1" t="n">
        <v>45935</v>
      </c>
      <c r="D169" t="inlineStr">
        <is>
          <t>ÖREBRO LÄN</t>
        </is>
      </c>
      <c r="E169" t="inlineStr">
        <is>
          <t>ÖREBRO</t>
        </is>
      </c>
      <c r="G169" t="n">
        <v>4.4</v>
      </c>
      <c r="H169" t="n">
        <v>0</v>
      </c>
      <c r="I169" t="n">
        <v>0</v>
      </c>
      <c r="J169" t="n">
        <v>0</v>
      </c>
      <c r="K169" t="n">
        <v>0</v>
      </c>
      <c r="L169" t="n">
        <v>0</v>
      </c>
      <c r="M169" t="n">
        <v>0</v>
      </c>
      <c r="N169" t="n">
        <v>0</v>
      </c>
      <c r="O169" t="n">
        <v>0</v>
      </c>
      <c r="P169" t="n">
        <v>0</v>
      </c>
      <c r="Q169" t="n">
        <v>0</v>
      </c>
      <c r="R169" s="2" t="inlineStr"/>
    </row>
    <row r="170" ht="15" customHeight="1">
      <c r="A170" t="inlineStr">
        <is>
          <t>A 10831-2023</t>
        </is>
      </c>
      <c r="B170" s="1" t="n">
        <v>44990.90357638889</v>
      </c>
      <c r="C170" s="1" t="n">
        <v>45935</v>
      </c>
      <c r="D170" t="inlineStr">
        <is>
          <t>ÖREBRO LÄN</t>
        </is>
      </c>
      <c r="E170" t="inlineStr">
        <is>
          <t>ÖREBRO</t>
        </is>
      </c>
      <c r="G170" t="n">
        <v>1.9</v>
      </c>
      <c r="H170" t="n">
        <v>0</v>
      </c>
      <c r="I170" t="n">
        <v>0</v>
      </c>
      <c r="J170" t="n">
        <v>0</v>
      </c>
      <c r="K170" t="n">
        <v>0</v>
      </c>
      <c r="L170" t="n">
        <v>0</v>
      </c>
      <c r="M170" t="n">
        <v>0</v>
      </c>
      <c r="N170" t="n">
        <v>0</v>
      </c>
      <c r="O170" t="n">
        <v>0</v>
      </c>
      <c r="P170" t="n">
        <v>0</v>
      </c>
      <c r="Q170" t="n">
        <v>0</v>
      </c>
      <c r="R170" s="2" t="inlineStr"/>
    </row>
    <row r="171" ht="15" customHeight="1">
      <c r="A171" t="inlineStr">
        <is>
          <t>A 38075-2022</t>
        </is>
      </c>
      <c r="B171" s="1" t="n">
        <v>44811</v>
      </c>
      <c r="C171" s="1" t="n">
        <v>45935</v>
      </c>
      <c r="D171" t="inlineStr">
        <is>
          <t>ÖREBRO LÄN</t>
        </is>
      </c>
      <c r="E171" t="inlineStr">
        <is>
          <t>ÖREBRO</t>
        </is>
      </c>
      <c r="G171" t="n">
        <v>0.2</v>
      </c>
      <c r="H171" t="n">
        <v>0</v>
      </c>
      <c r="I171" t="n">
        <v>0</v>
      </c>
      <c r="J171" t="n">
        <v>0</v>
      </c>
      <c r="K171" t="n">
        <v>0</v>
      </c>
      <c r="L171" t="n">
        <v>0</v>
      </c>
      <c r="M171" t="n">
        <v>0</v>
      </c>
      <c r="N171" t="n">
        <v>0</v>
      </c>
      <c r="O171" t="n">
        <v>0</v>
      </c>
      <c r="P171" t="n">
        <v>0</v>
      </c>
      <c r="Q171" t="n">
        <v>0</v>
      </c>
      <c r="R171" s="2" t="inlineStr"/>
    </row>
    <row r="172" ht="15" customHeight="1">
      <c r="A172" t="inlineStr">
        <is>
          <t>A 30760-2022</t>
        </is>
      </c>
      <c r="B172" s="1" t="n">
        <v>44764.51827546296</v>
      </c>
      <c r="C172" s="1" t="n">
        <v>45935</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19831-2021</t>
        </is>
      </c>
      <c r="B173" s="1" t="n">
        <v>44313</v>
      </c>
      <c r="C173" s="1" t="n">
        <v>45935</v>
      </c>
      <c r="D173" t="inlineStr">
        <is>
          <t>ÖREBRO LÄN</t>
        </is>
      </c>
      <c r="E173" t="inlineStr">
        <is>
          <t>ÖREBRO</t>
        </is>
      </c>
      <c r="G173" t="n">
        <v>3.2</v>
      </c>
      <c r="H173" t="n">
        <v>0</v>
      </c>
      <c r="I173" t="n">
        <v>0</v>
      </c>
      <c r="J173" t="n">
        <v>0</v>
      </c>
      <c r="K173" t="n">
        <v>0</v>
      </c>
      <c r="L173" t="n">
        <v>0</v>
      </c>
      <c r="M173" t="n">
        <v>0</v>
      </c>
      <c r="N173" t="n">
        <v>0</v>
      </c>
      <c r="O173" t="n">
        <v>0</v>
      </c>
      <c r="P173" t="n">
        <v>0</v>
      </c>
      <c r="Q173" t="n">
        <v>0</v>
      </c>
      <c r="R173" s="2" t="inlineStr"/>
    </row>
    <row r="174" ht="15" customHeight="1">
      <c r="A174" t="inlineStr">
        <is>
          <t>A 29490-2022</t>
        </is>
      </c>
      <c r="B174" s="1" t="n">
        <v>44753</v>
      </c>
      <c r="C174" s="1" t="n">
        <v>45935</v>
      </c>
      <c r="D174" t="inlineStr">
        <is>
          <t>ÖREBRO LÄN</t>
        </is>
      </c>
      <c r="E174" t="inlineStr">
        <is>
          <t>ÖREBRO</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5133-2024</t>
        </is>
      </c>
      <c r="B175" s="1" t="n">
        <v>45330</v>
      </c>
      <c r="C175" s="1" t="n">
        <v>45935</v>
      </c>
      <c r="D175" t="inlineStr">
        <is>
          <t>ÖREBRO LÄN</t>
        </is>
      </c>
      <c r="E175" t="inlineStr">
        <is>
          <t>ÖREBRO</t>
        </is>
      </c>
      <c r="G175" t="n">
        <v>0.5</v>
      </c>
      <c r="H175" t="n">
        <v>0</v>
      </c>
      <c r="I175" t="n">
        <v>0</v>
      </c>
      <c r="J175" t="n">
        <v>0</v>
      </c>
      <c r="K175" t="n">
        <v>0</v>
      </c>
      <c r="L175" t="n">
        <v>0</v>
      </c>
      <c r="M175" t="n">
        <v>0</v>
      </c>
      <c r="N175" t="n">
        <v>0</v>
      </c>
      <c r="O175" t="n">
        <v>0</v>
      </c>
      <c r="P175" t="n">
        <v>0</v>
      </c>
      <c r="Q175" t="n">
        <v>0</v>
      </c>
      <c r="R175" s="2" t="inlineStr"/>
    </row>
    <row r="176" ht="15" customHeight="1">
      <c r="A176" t="inlineStr">
        <is>
          <t>A 58219-2024</t>
        </is>
      </c>
      <c r="B176" s="1" t="n">
        <v>45632</v>
      </c>
      <c r="C176" s="1" t="n">
        <v>45935</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57869-2024</t>
        </is>
      </c>
      <c r="B177" s="1" t="n">
        <v>45631.44207175926</v>
      </c>
      <c r="C177" s="1" t="n">
        <v>45935</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58539-2024</t>
        </is>
      </c>
      <c r="B178" s="1" t="n">
        <v>45635.45157407408</v>
      </c>
      <c r="C178" s="1" t="n">
        <v>45935</v>
      </c>
      <c r="D178" t="inlineStr">
        <is>
          <t>ÖREBRO LÄN</t>
        </is>
      </c>
      <c r="E178" t="inlineStr">
        <is>
          <t>ÖREBRO</t>
        </is>
      </c>
      <c r="F178" t="inlineStr">
        <is>
          <t>Sveaskog</t>
        </is>
      </c>
      <c r="G178" t="n">
        <v>4.1</v>
      </c>
      <c r="H178" t="n">
        <v>0</v>
      </c>
      <c r="I178" t="n">
        <v>0</v>
      </c>
      <c r="J178" t="n">
        <v>0</v>
      </c>
      <c r="K178" t="n">
        <v>0</v>
      </c>
      <c r="L178" t="n">
        <v>0</v>
      </c>
      <c r="M178" t="n">
        <v>0</v>
      </c>
      <c r="N178" t="n">
        <v>0</v>
      </c>
      <c r="O178" t="n">
        <v>0</v>
      </c>
      <c r="P178" t="n">
        <v>0</v>
      </c>
      <c r="Q178" t="n">
        <v>0</v>
      </c>
      <c r="R178" s="2" t="inlineStr"/>
    </row>
    <row r="179" ht="15" customHeight="1">
      <c r="A179" t="inlineStr">
        <is>
          <t>A 11565-2023</t>
        </is>
      </c>
      <c r="B179" s="1" t="n">
        <v>44994</v>
      </c>
      <c r="C179" s="1" t="n">
        <v>45935</v>
      </c>
      <c r="D179" t="inlineStr">
        <is>
          <t>ÖREBRO LÄN</t>
        </is>
      </c>
      <c r="E179" t="inlineStr">
        <is>
          <t>ÖREBRO</t>
        </is>
      </c>
      <c r="G179" t="n">
        <v>4.7</v>
      </c>
      <c r="H179" t="n">
        <v>0</v>
      </c>
      <c r="I179" t="n">
        <v>0</v>
      </c>
      <c r="J179" t="n">
        <v>0</v>
      </c>
      <c r="K179" t="n">
        <v>0</v>
      </c>
      <c r="L179" t="n">
        <v>0</v>
      </c>
      <c r="M179" t="n">
        <v>0</v>
      </c>
      <c r="N179" t="n">
        <v>0</v>
      </c>
      <c r="O179" t="n">
        <v>0</v>
      </c>
      <c r="P179" t="n">
        <v>0</v>
      </c>
      <c r="Q179" t="n">
        <v>0</v>
      </c>
      <c r="R179" s="2" t="inlineStr"/>
    </row>
    <row r="180" ht="15" customHeight="1">
      <c r="A180" t="inlineStr">
        <is>
          <t>A 37395-2021</t>
        </is>
      </c>
      <c r="B180" s="1" t="n">
        <v>44398</v>
      </c>
      <c r="C180" s="1" t="n">
        <v>45935</v>
      </c>
      <c r="D180" t="inlineStr">
        <is>
          <t>ÖREBRO LÄN</t>
        </is>
      </c>
      <c r="E180" t="inlineStr">
        <is>
          <t>ÖREBRO</t>
        </is>
      </c>
      <c r="G180" t="n">
        <v>3</v>
      </c>
      <c r="H180" t="n">
        <v>0</v>
      </c>
      <c r="I180" t="n">
        <v>0</v>
      </c>
      <c r="J180" t="n">
        <v>0</v>
      </c>
      <c r="K180" t="n">
        <v>0</v>
      </c>
      <c r="L180" t="n">
        <v>0</v>
      </c>
      <c r="M180" t="n">
        <v>0</v>
      </c>
      <c r="N180" t="n">
        <v>0</v>
      </c>
      <c r="O180" t="n">
        <v>0</v>
      </c>
      <c r="P180" t="n">
        <v>0</v>
      </c>
      <c r="Q180" t="n">
        <v>0</v>
      </c>
      <c r="R180" s="2" t="inlineStr"/>
    </row>
    <row r="181" ht="15" customHeight="1">
      <c r="A181" t="inlineStr">
        <is>
          <t>A 58532-2024</t>
        </is>
      </c>
      <c r="B181" s="1" t="n">
        <v>45635.44899305556</v>
      </c>
      <c r="C181" s="1" t="n">
        <v>45935</v>
      </c>
      <c r="D181" t="inlineStr">
        <is>
          <t>ÖREBRO LÄN</t>
        </is>
      </c>
      <c r="E181" t="inlineStr">
        <is>
          <t>ÖREBRO</t>
        </is>
      </c>
      <c r="F181" t="inlineStr">
        <is>
          <t>Sveaskog</t>
        </is>
      </c>
      <c r="G181" t="n">
        <v>5.2</v>
      </c>
      <c r="H181" t="n">
        <v>0</v>
      </c>
      <c r="I181" t="n">
        <v>0</v>
      </c>
      <c r="J181" t="n">
        <v>0</v>
      </c>
      <c r="K181" t="n">
        <v>0</v>
      </c>
      <c r="L181" t="n">
        <v>0</v>
      </c>
      <c r="M181" t="n">
        <v>0</v>
      </c>
      <c r="N181" t="n">
        <v>0</v>
      </c>
      <c r="O181" t="n">
        <v>0</v>
      </c>
      <c r="P181" t="n">
        <v>0</v>
      </c>
      <c r="Q181" t="n">
        <v>0</v>
      </c>
      <c r="R181" s="2" t="inlineStr"/>
    </row>
    <row r="182" ht="15" customHeight="1">
      <c r="A182" t="inlineStr">
        <is>
          <t>A 1647-2024</t>
        </is>
      </c>
      <c r="B182" s="1" t="n">
        <v>45306</v>
      </c>
      <c r="C182" s="1" t="n">
        <v>45935</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187-2024</t>
        </is>
      </c>
      <c r="B183" s="1" t="n">
        <v>45294</v>
      </c>
      <c r="C183" s="1" t="n">
        <v>45935</v>
      </c>
      <c r="D183" t="inlineStr">
        <is>
          <t>ÖREBRO LÄN</t>
        </is>
      </c>
      <c r="E183" t="inlineStr">
        <is>
          <t>ÖREBRO</t>
        </is>
      </c>
      <c r="G183" t="n">
        <v>5.9</v>
      </c>
      <c r="H183" t="n">
        <v>0</v>
      </c>
      <c r="I183" t="n">
        <v>0</v>
      </c>
      <c r="J183" t="n">
        <v>0</v>
      </c>
      <c r="K183" t="n">
        <v>0</v>
      </c>
      <c r="L183" t="n">
        <v>0</v>
      </c>
      <c r="M183" t="n">
        <v>0</v>
      </c>
      <c r="N183" t="n">
        <v>0</v>
      </c>
      <c r="O183" t="n">
        <v>0</v>
      </c>
      <c r="P183" t="n">
        <v>0</v>
      </c>
      <c r="Q183" t="n">
        <v>0</v>
      </c>
      <c r="R183" s="2" t="inlineStr"/>
    </row>
    <row r="184" ht="15" customHeight="1">
      <c r="A184" t="inlineStr">
        <is>
          <t>A 31906-2023</t>
        </is>
      </c>
      <c r="B184" s="1" t="n">
        <v>45118.8353125</v>
      </c>
      <c r="C184" s="1" t="n">
        <v>45935</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66936-2021</t>
        </is>
      </c>
      <c r="B185" s="1" t="n">
        <v>44522.56349537037</v>
      </c>
      <c r="C185" s="1" t="n">
        <v>45935</v>
      </c>
      <c r="D185" t="inlineStr">
        <is>
          <t>ÖREBRO LÄN</t>
        </is>
      </c>
      <c r="E185" t="inlineStr">
        <is>
          <t>ÖREBRO</t>
        </is>
      </c>
      <c r="G185" t="n">
        <v>6.8</v>
      </c>
      <c r="H185" t="n">
        <v>0</v>
      </c>
      <c r="I185" t="n">
        <v>0</v>
      </c>
      <c r="J185" t="n">
        <v>0</v>
      </c>
      <c r="K185" t="n">
        <v>0</v>
      </c>
      <c r="L185" t="n">
        <v>0</v>
      </c>
      <c r="M185" t="n">
        <v>0</v>
      </c>
      <c r="N185" t="n">
        <v>0</v>
      </c>
      <c r="O185" t="n">
        <v>0</v>
      </c>
      <c r="P185" t="n">
        <v>0</v>
      </c>
      <c r="Q185" t="n">
        <v>0</v>
      </c>
      <c r="R185" s="2" t="inlineStr"/>
    </row>
    <row r="186" ht="15" customHeight="1">
      <c r="A186" t="inlineStr">
        <is>
          <t>A 44131-2022</t>
        </is>
      </c>
      <c r="B186" s="1" t="n">
        <v>44839</v>
      </c>
      <c r="C186" s="1" t="n">
        <v>45935</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52477-2024</t>
        </is>
      </c>
      <c r="B187" s="1" t="n">
        <v>45609</v>
      </c>
      <c r="C187" s="1" t="n">
        <v>45935</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31326-2024</t>
        </is>
      </c>
      <c r="B188" s="1" t="n">
        <v>45504.5934375</v>
      </c>
      <c r="C188" s="1" t="n">
        <v>45935</v>
      </c>
      <c r="D188" t="inlineStr">
        <is>
          <t>ÖREBRO LÄN</t>
        </is>
      </c>
      <c r="E188" t="inlineStr">
        <is>
          <t>ÖREBRO</t>
        </is>
      </c>
      <c r="G188" t="n">
        <v>6.4</v>
      </c>
      <c r="H188" t="n">
        <v>0</v>
      </c>
      <c r="I188" t="n">
        <v>0</v>
      </c>
      <c r="J188" t="n">
        <v>0</v>
      </c>
      <c r="K188" t="n">
        <v>0</v>
      </c>
      <c r="L188" t="n">
        <v>0</v>
      </c>
      <c r="M188" t="n">
        <v>0</v>
      </c>
      <c r="N188" t="n">
        <v>0</v>
      </c>
      <c r="O188" t="n">
        <v>0</v>
      </c>
      <c r="P188" t="n">
        <v>0</v>
      </c>
      <c r="Q188" t="n">
        <v>0</v>
      </c>
      <c r="R188" s="2" t="inlineStr"/>
    </row>
    <row r="189" ht="15" customHeight="1">
      <c r="A189" t="inlineStr">
        <is>
          <t>A 10368-2021</t>
        </is>
      </c>
      <c r="B189" s="1" t="n">
        <v>44257</v>
      </c>
      <c r="C189" s="1" t="n">
        <v>45935</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70719-2021</t>
        </is>
      </c>
      <c r="B190" s="1" t="n">
        <v>44537</v>
      </c>
      <c r="C190" s="1" t="n">
        <v>45935</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4284-2025</t>
        </is>
      </c>
      <c r="B191" s="1" t="n">
        <v>45685</v>
      </c>
      <c r="C191" s="1" t="n">
        <v>45935</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2771-2023</t>
        </is>
      </c>
      <c r="B192" s="1" t="n">
        <v>44944.64704861111</v>
      </c>
      <c r="C192" s="1" t="n">
        <v>45935</v>
      </c>
      <c r="D192" t="inlineStr">
        <is>
          <t>ÖREBRO LÄN</t>
        </is>
      </c>
      <c r="E192" t="inlineStr">
        <is>
          <t>ÖREBRO</t>
        </is>
      </c>
      <c r="G192" t="n">
        <v>15.4</v>
      </c>
      <c r="H192" t="n">
        <v>0</v>
      </c>
      <c r="I192" t="n">
        <v>0</v>
      </c>
      <c r="J192" t="n">
        <v>0</v>
      </c>
      <c r="K192" t="n">
        <v>0</v>
      </c>
      <c r="L192" t="n">
        <v>0</v>
      </c>
      <c r="M192" t="n">
        <v>0</v>
      </c>
      <c r="N192" t="n">
        <v>0</v>
      </c>
      <c r="O192" t="n">
        <v>0</v>
      </c>
      <c r="P192" t="n">
        <v>0</v>
      </c>
      <c r="Q192" t="n">
        <v>0</v>
      </c>
      <c r="R192" s="2" t="inlineStr"/>
    </row>
    <row r="193" ht="15" customHeight="1">
      <c r="A193" t="inlineStr">
        <is>
          <t>A 16694-2025</t>
        </is>
      </c>
      <c r="B193" s="1" t="n">
        <v>45754.46480324074</v>
      </c>
      <c r="C193" s="1" t="n">
        <v>45935</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13762-2023</t>
        </is>
      </c>
      <c r="B194" s="1" t="n">
        <v>45007.43729166667</v>
      </c>
      <c r="C194" s="1" t="n">
        <v>45935</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30374-2023</t>
        </is>
      </c>
      <c r="B195" s="1" t="n">
        <v>45111</v>
      </c>
      <c r="C195" s="1" t="n">
        <v>45935</v>
      </c>
      <c r="D195" t="inlineStr">
        <is>
          <t>ÖREBRO LÄN</t>
        </is>
      </c>
      <c r="E195" t="inlineStr">
        <is>
          <t>ÖREBRO</t>
        </is>
      </c>
      <c r="F195" t="inlineStr">
        <is>
          <t>Övriga Aktiebolag</t>
        </is>
      </c>
      <c r="G195" t="n">
        <v>2.3</v>
      </c>
      <c r="H195" t="n">
        <v>0</v>
      </c>
      <c r="I195" t="n">
        <v>0</v>
      </c>
      <c r="J195" t="n">
        <v>0</v>
      </c>
      <c r="K195" t="n">
        <v>0</v>
      </c>
      <c r="L195" t="n">
        <v>0</v>
      </c>
      <c r="M195" t="n">
        <v>0</v>
      </c>
      <c r="N195" t="n">
        <v>0</v>
      </c>
      <c r="O195" t="n">
        <v>0</v>
      </c>
      <c r="P195" t="n">
        <v>0</v>
      </c>
      <c r="Q195" t="n">
        <v>0</v>
      </c>
      <c r="R195" s="2" t="inlineStr"/>
    </row>
    <row r="196" ht="15" customHeight="1">
      <c r="A196" t="inlineStr">
        <is>
          <t>A 38898-2023</t>
        </is>
      </c>
      <c r="B196" s="1" t="n">
        <v>45163</v>
      </c>
      <c r="C196" s="1" t="n">
        <v>45935</v>
      </c>
      <c r="D196" t="inlineStr">
        <is>
          <t>ÖREBRO LÄN</t>
        </is>
      </c>
      <c r="E196" t="inlineStr">
        <is>
          <t>ÖREBRO</t>
        </is>
      </c>
      <c r="G196" t="n">
        <v>5.1</v>
      </c>
      <c r="H196" t="n">
        <v>0</v>
      </c>
      <c r="I196" t="n">
        <v>0</v>
      </c>
      <c r="J196" t="n">
        <v>0</v>
      </c>
      <c r="K196" t="n">
        <v>0</v>
      </c>
      <c r="L196" t="n">
        <v>0</v>
      </c>
      <c r="M196" t="n">
        <v>0</v>
      </c>
      <c r="N196" t="n">
        <v>0</v>
      </c>
      <c r="O196" t="n">
        <v>0</v>
      </c>
      <c r="P196" t="n">
        <v>0</v>
      </c>
      <c r="Q196" t="n">
        <v>0</v>
      </c>
      <c r="R196" s="2" t="inlineStr"/>
    </row>
    <row r="197" ht="15" customHeight="1">
      <c r="A197" t="inlineStr">
        <is>
          <t>A 5764-2022</t>
        </is>
      </c>
      <c r="B197" s="1" t="n">
        <v>44596</v>
      </c>
      <c r="C197" s="1" t="n">
        <v>45935</v>
      </c>
      <c r="D197" t="inlineStr">
        <is>
          <t>ÖREBRO LÄN</t>
        </is>
      </c>
      <c r="E197" t="inlineStr">
        <is>
          <t>ÖREBRO</t>
        </is>
      </c>
      <c r="G197" t="n">
        <v>3.5</v>
      </c>
      <c r="H197" t="n">
        <v>0</v>
      </c>
      <c r="I197" t="n">
        <v>0</v>
      </c>
      <c r="J197" t="n">
        <v>0</v>
      </c>
      <c r="K197" t="n">
        <v>0</v>
      </c>
      <c r="L197" t="n">
        <v>0</v>
      </c>
      <c r="M197" t="n">
        <v>0</v>
      </c>
      <c r="N197" t="n">
        <v>0</v>
      </c>
      <c r="O197" t="n">
        <v>0</v>
      </c>
      <c r="P197" t="n">
        <v>0</v>
      </c>
      <c r="Q197" t="n">
        <v>0</v>
      </c>
      <c r="R197" s="2" t="inlineStr"/>
    </row>
    <row r="198" ht="15" customHeight="1">
      <c r="A198" t="inlineStr">
        <is>
          <t>A 60022-2024</t>
        </is>
      </c>
      <c r="B198" s="1" t="n">
        <v>45642</v>
      </c>
      <c r="C198" s="1" t="n">
        <v>45935</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21036-2024</t>
        </is>
      </c>
      <c r="B199" s="1" t="n">
        <v>45439.65954861111</v>
      </c>
      <c r="C199" s="1" t="n">
        <v>45935</v>
      </c>
      <c r="D199" t="inlineStr">
        <is>
          <t>ÖREBRO LÄN</t>
        </is>
      </c>
      <c r="E199" t="inlineStr">
        <is>
          <t>ÖREBRO</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2076-2025</t>
        </is>
      </c>
      <c r="B200" s="1" t="n">
        <v>45672</v>
      </c>
      <c r="C200" s="1" t="n">
        <v>45935</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10470-2025</t>
        </is>
      </c>
      <c r="B201" s="1" t="n">
        <v>45720</v>
      </c>
      <c r="C201" s="1" t="n">
        <v>45935</v>
      </c>
      <c r="D201" t="inlineStr">
        <is>
          <t>ÖREBRO LÄN</t>
        </is>
      </c>
      <c r="E201" t="inlineStr">
        <is>
          <t>ÖREBRO</t>
        </is>
      </c>
      <c r="G201" t="n">
        <v>11.5</v>
      </c>
      <c r="H201" t="n">
        <v>0</v>
      </c>
      <c r="I201" t="n">
        <v>0</v>
      </c>
      <c r="J201" t="n">
        <v>0</v>
      </c>
      <c r="K201" t="n">
        <v>0</v>
      </c>
      <c r="L201" t="n">
        <v>0</v>
      </c>
      <c r="M201" t="n">
        <v>0</v>
      </c>
      <c r="N201" t="n">
        <v>0</v>
      </c>
      <c r="O201" t="n">
        <v>0</v>
      </c>
      <c r="P201" t="n">
        <v>0</v>
      </c>
      <c r="Q201" t="n">
        <v>0</v>
      </c>
      <c r="R201" s="2" t="inlineStr"/>
    </row>
    <row r="202" ht="15" customHeight="1">
      <c r="A202" t="inlineStr">
        <is>
          <t>A 52623-2024</t>
        </is>
      </c>
      <c r="B202" s="1" t="n">
        <v>45609</v>
      </c>
      <c r="C202" s="1" t="n">
        <v>45935</v>
      </c>
      <c r="D202" t="inlineStr">
        <is>
          <t>ÖREBRO LÄN</t>
        </is>
      </c>
      <c r="E202" t="inlineStr">
        <is>
          <t>ÖREBRO</t>
        </is>
      </c>
      <c r="F202" t="inlineStr">
        <is>
          <t>Kommuner</t>
        </is>
      </c>
      <c r="G202" t="n">
        <v>1.7</v>
      </c>
      <c r="H202" t="n">
        <v>0</v>
      </c>
      <c r="I202" t="n">
        <v>0</v>
      </c>
      <c r="J202" t="n">
        <v>0</v>
      </c>
      <c r="K202" t="n">
        <v>0</v>
      </c>
      <c r="L202" t="n">
        <v>0</v>
      </c>
      <c r="M202" t="n">
        <v>0</v>
      </c>
      <c r="N202" t="n">
        <v>0</v>
      </c>
      <c r="O202" t="n">
        <v>0</v>
      </c>
      <c r="P202" t="n">
        <v>0</v>
      </c>
      <c r="Q202" t="n">
        <v>0</v>
      </c>
      <c r="R202" s="2" t="inlineStr"/>
    </row>
    <row r="203" ht="15" customHeight="1">
      <c r="A203" t="inlineStr">
        <is>
          <t>A 50026-2024</t>
        </is>
      </c>
      <c r="B203" s="1" t="n">
        <v>45599.60541666667</v>
      </c>
      <c r="C203" s="1" t="n">
        <v>45935</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62794-2021</t>
        </is>
      </c>
      <c r="B204" s="1" t="n">
        <v>44504</v>
      </c>
      <c r="C204" s="1" t="n">
        <v>45935</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19180-2025</t>
        </is>
      </c>
      <c r="B205" s="1" t="n">
        <v>45769.40133101852</v>
      </c>
      <c r="C205" s="1" t="n">
        <v>45935</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58684-2023</t>
        </is>
      </c>
      <c r="B206" s="1" t="n">
        <v>45251</v>
      </c>
      <c r="C206" s="1" t="n">
        <v>45935</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37771-2024</t>
        </is>
      </c>
      <c r="B207" s="1" t="n">
        <v>45542.31359953704</v>
      </c>
      <c r="C207" s="1" t="n">
        <v>45935</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58216-2024</t>
        </is>
      </c>
      <c r="B208" s="1" t="n">
        <v>45632</v>
      </c>
      <c r="C208" s="1" t="n">
        <v>45935</v>
      </c>
      <c r="D208" t="inlineStr">
        <is>
          <t>ÖREBRO LÄN</t>
        </is>
      </c>
      <c r="E208" t="inlineStr">
        <is>
          <t>ÖREBRO</t>
        </is>
      </c>
      <c r="G208" t="n">
        <v>1.9</v>
      </c>
      <c r="H208" t="n">
        <v>0</v>
      </c>
      <c r="I208" t="n">
        <v>0</v>
      </c>
      <c r="J208" t="n">
        <v>0</v>
      </c>
      <c r="K208" t="n">
        <v>0</v>
      </c>
      <c r="L208" t="n">
        <v>0</v>
      </c>
      <c r="M208" t="n">
        <v>0</v>
      </c>
      <c r="N208" t="n">
        <v>0</v>
      </c>
      <c r="O208" t="n">
        <v>0</v>
      </c>
      <c r="P208" t="n">
        <v>0</v>
      </c>
      <c r="Q208" t="n">
        <v>0</v>
      </c>
      <c r="R208" s="2" t="inlineStr"/>
    </row>
    <row r="209" ht="15" customHeight="1">
      <c r="A209" t="inlineStr">
        <is>
          <t>A 8332-2021</t>
        </is>
      </c>
      <c r="B209" s="1" t="n">
        <v>44244</v>
      </c>
      <c r="C209" s="1" t="n">
        <v>45935</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3763-2025</t>
        </is>
      </c>
      <c r="B210" s="1" t="n">
        <v>45681</v>
      </c>
      <c r="C210" s="1" t="n">
        <v>45935</v>
      </c>
      <c r="D210" t="inlineStr">
        <is>
          <t>ÖREBRO LÄN</t>
        </is>
      </c>
      <c r="E210" t="inlineStr">
        <is>
          <t>ÖREBRO</t>
        </is>
      </c>
      <c r="G210" t="n">
        <v>10.1</v>
      </c>
      <c r="H210" t="n">
        <v>0</v>
      </c>
      <c r="I210" t="n">
        <v>0</v>
      </c>
      <c r="J210" t="n">
        <v>0</v>
      </c>
      <c r="K210" t="n">
        <v>0</v>
      </c>
      <c r="L210" t="n">
        <v>0</v>
      </c>
      <c r="M210" t="n">
        <v>0</v>
      </c>
      <c r="N210" t="n">
        <v>0</v>
      </c>
      <c r="O210" t="n">
        <v>0</v>
      </c>
      <c r="P210" t="n">
        <v>0</v>
      </c>
      <c r="Q210" t="n">
        <v>0</v>
      </c>
      <c r="R210" s="2" t="inlineStr"/>
    </row>
    <row r="211" ht="15" customHeight="1">
      <c r="A211" t="inlineStr">
        <is>
          <t>A 1492-2022</t>
        </is>
      </c>
      <c r="B211" s="1" t="n">
        <v>44573</v>
      </c>
      <c r="C211" s="1" t="n">
        <v>45935</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5324-2024</t>
        </is>
      </c>
      <c r="B212" s="1" t="n">
        <v>45331</v>
      </c>
      <c r="C212" s="1" t="n">
        <v>45935</v>
      </c>
      <c r="D212" t="inlineStr">
        <is>
          <t>ÖREBRO LÄN</t>
        </is>
      </c>
      <c r="E212" t="inlineStr">
        <is>
          <t>ÖREBRO</t>
        </is>
      </c>
      <c r="G212" t="n">
        <v>1.5</v>
      </c>
      <c r="H212" t="n">
        <v>0</v>
      </c>
      <c r="I212" t="n">
        <v>0</v>
      </c>
      <c r="J212" t="n">
        <v>0</v>
      </c>
      <c r="K212" t="n">
        <v>0</v>
      </c>
      <c r="L212" t="n">
        <v>0</v>
      </c>
      <c r="M212" t="n">
        <v>0</v>
      </c>
      <c r="N212" t="n">
        <v>0</v>
      </c>
      <c r="O212" t="n">
        <v>0</v>
      </c>
      <c r="P212" t="n">
        <v>0</v>
      </c>
      <c r="Q212" t="n">
        <v>0</v>
      </c>
      <c r="R212" s="2" t="inlineStr"/>
    </row>
    <row r="213" ht="15" customHeight="1">
      <c r="A213" t="inlineStr">
        <is>
          <t>A 5946-2021</t>
        </is>
      </c>
      <c r="B213" s="1" t="n">
        <v>44230</v>
      </c>
      <c r="C213" s="1" t="n">
        <v>45935</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58615-2024</t>
        </is>
      </c>
      <c r="B214" s="1" t="n">
        <v>45635.5587037037</v>
      </c>
      <c r="C214" s="1" t="n">
        <v>45935</v>
      </c>
      <c r="D214" t="inlineStr">
        <is>
          <t>ÖREBRO LÄN</t>
        </is>
      </c>
      <c r="E214" t="inlineStr">
        <is>
          <t>ÖREBRO</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58620-2024</t>
        </is>
      </c>
      <c r="B215" s="1" t="n">
        <v>45635.56246527778</v>
      </c>
      <c r="C215" s="1" t="n">
        <v>45935</v>
      </c>
      <c r="D215" t="inlineStr">
        <is>
          <t>ÖREBRO LÄN</t>
        </is>
      </c>
      <c r="E215" t="inlineStr">
        <is>
          <t>ÖREBRO</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1014-2024</t>
        </is>
      </c>
      <c r="B216" s="1" t="n">
        <v>45301</v>
      </c>
      <c r="C216" s="1" t="n">
        <v>45935</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30472-2022</t>
        </is>
      </c>
      <c r="B217" s="1" t="n">
        <v>44761.70467592592</v>
      </c>
      <c r="C217" s="1" t="n">
        <v>45935</v>
      </c>
      <c r="D217" t="inlineStr">
        <is>
          <t>ÖREBRO LÄN</t>
        </is>
      </c>
      <c r="E217" t="inlineStr">
        <is>
          <t>ÖREBRO</t>
        </is>
      </c>
      <c r="F217" t="inlineStr">
        <is>
          <t>Övriga Aktiebolag</t>
        </is>
      </c>
      <c r="G217" t="n">
        <v>5.6</v>
      </c>
      <c r="H217" t="n">
        <v>0</v>
      </c>
      <c r="I217" t="n">
        <v>0</v>
      </c>
      <c r="J217" t="n">
        <v>0</v>
      </c>
      <c r="K217" t="n">
        <v>0</v>
      </c>
      <c r="L217" t="n">
        <v>0</v>
      </c>
      <c r="M217" t="n">
        <v>0</v>
      </c>
      <c r="N217" t="n">
        <v>0</v>
      </c>
      <c r="O217" t="n">
        <v>0</v>
      </c>
      <c r="P217" t="n">
        <v>0</v>
      </c>
      <c r="Q217" t="n">
        <v>0</v>
      </c>
      <c r="R217" s="2" t="inlineStr"/>
    </row>
    <row r="218" ht="15" customHeight="1">
      <c r="A218" t="inlineStr">
        <is>
          <t>A 34056-2023</t>
        </is>
      </c>
      <c r="B218" s="1" t="n">
        <v>45135</v>
      </c>
      <c r="C218" s="1" t="n">
        <v>45935</v>
      </c>
      <c r="D218" t="inlineStr">
        <is>
          <t>ÖREBRO LÄN</t>
        </is>
      </c>
      <c r="E218" t="inlineStr">
        <is>
          <t>ÖREBRO</t>
        </is>
      </c>
      <c r="F218" t="inlineStr">
        <is>
          <t>Övriga Aktiebolag</t>
        </is>
      </c>
      <c r="G218" t="n">
        <v>4.1</v>
      </c>
      <c r="H218" t="n">
        <v>0</v>
      </c>
      <c r="I218" t="n">
        <v>0</v>
      </c>
      <c r="J218" t="n">
        <v>0</v>
      </c>
      <c r="K218" t="n">
        <v>0</v>
      </c>
      <c r="L218" t="n">
        <v>0</v>
      </c>
      <c r="M218" t="n">
        <v>0</v>
      </c>
      <c r="N218" t="n">
        <v>0</v>
      </c>
      <c r="O218" t="n">
        <v>0</v>
      </c>
      <c r="P218" t="n">
        <v>0</v>
      </c>
      <c r="Q218" t="n">
        <v>0</v>
      </c>
      <c r="R218" s="2" t="inlineStr"/>
    </row>
    <row r="219" ht="15" customHeight="1">
      <c r="A219" t="inlineStr">
        <is>
          <t>A 43612-2022</t>
        </is>
      </c>
      <c r="B219" s="1" t="n">
        <v>44837</v>
      </c>
      <c r="C219" s="1" t="n">
        <v>45935</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51373-2023</t>
        </is>
      </c>
      <c r="B220" s="1" t="n">
        <v>45213</v>
      </c>
      <c r="C220" s="1" t="n">
        <v>45935</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71288-2021</t>
        </is>
      </c>
      <c r="B221" s="1" t="n">
        <v>44539.62481481482</v>
      </c>
      <c r="C221" s="1" t="n">
        <v>45935</v>
      </c>
      <c r="D221" t="inlineStr">
        <is>
          <t>ÖREBRO LÄN</t>
        </is>
      </c>
      <c r="E221" t="inlineStr">
        <is>
          <t>ÖREBRO</t>
        </is>
      </c>
      <c r="G221" t="n">
        <v>3.9</v>
      </c>
      <c r="H221" t="n">
        <v>0</v>
      </c>
      <c r="I221" t="n">
        <v>0</v>
      </c>
      <c r="J221" t="n">
        <v>0</v>
      </c>
      <c r="K221" t="n">
        <v>0</v>
      </c>
      <c r="L221" t="n">
        <v>0</v>
      </c>
      <c r="M221" t="n">
        <v>0</v>
      </c>
      <c r="N221" t="n">
        <v>0</v>
      </c>
      <c r="O221" t="n">
        <v>0</v>
      </c>
      <c r="P221" t="n">
        <v>0</v>
      </c>
      <c r="Q221" t="n">
        <v>0</v>
      </c>
      <c r="R221" s="2" t="inlineStr"/>
    </row>
    <row r="222" ht="15" customHeight="1">
      <c r="A222" t="inlineStr">
        <is>
          <t>A 35843-2022</t>
        </is>
      </c>
      <c r="B222" s="1" t="n">
        <v>44802</v>
      </c>
      <c r="C222" s="1" t="n">
        <v>45935</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13599-2025</t>
        </is>
      </c>
      <c r="B223" s="1" t="n">
        <v>45736.60597222222</v>
      </c>
      <c r="C223" s="1" t="n">
        <v>45935</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45237-2023</t>
        </is>
      </c>
      <c r="B224" s="1" t="n">
        <v>45191</v>
      </c>
      <c r="C224" s="1" t="n">
        <v>45935</v>
      </c>
      <c r="D224" t="inlineStr">
        <is>
          <t>ÖREBRO LÄN</t>
        </is>
      </c>
      <c r="E224" t="inlineStr">
        <is>
          <t>ÖREBRO</t>
        </is>
      </c>
      <c r="G224" t="n">
        <v>1.3</v>
      </c>
      <c r="H224" t="n">
        <v>0</v>
      </c>
      <c r="I224" t="n">
        <v>0</v>
      </c>
      <c r="J224" t="n">
        <v>0</v>
      </c>
      <c r="K224" t="n">
        <v>0</v>
      </c>
      <c r="L224" t="n">
        <v>0</v>
      </c>
      <c r="M224" t="n">
        <v>0</v>
      </c>
      <c r="N224" t="n">
        <v>0</v>
      </c>
      <c r="O224" t="n">
        <v>0</v>
      </c>
      <c r="P224" t="n">
        <v>0</v>
      </c>
      <c r="Q224" t="n">
        <v>0</v>
      </c>
      <c r="R224" s="2" t="inlineStr"/>
    </row>
    <row r="225" ht="15" customHeight="1">
      <c r="A225" t="inlineStr">
        <is>
          <t>A 18360-2024</t>
        </is>
      </c>
      <c r="B225" s="1" t="n">
        <v>45422</v>
      </c>
      <c r="C225" s="1" t="n">
        <v>45935</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16676-2025</t>
        </is>
      </c>
      <c r="B226" s="1" t="n">
        <v>45754.44658564815</v>
      </c>
      <c r="C226" s="1" t="n">
        <v>45935</v>
      </c>
      <c r="D226" t="inlineStr">
        <is>
          <t>ÖREBRO LÄN</t>
        </is>
      </c>
      <c r="E226" t="inlineStr">
        <is>
          <t>ÖREBRO</t>
        </is>
      </c>
      <c r="G226" t="n">
        <v>5.8</v>
      </c>
      <c r="H226" t="n">
        <v>0</v>
      </c>
      <c r="I226" t="n">
        <v>0</v>
      </c>
      <c r="J226" t="n">
        <v>0</v>
      </c>
      <c r="K226" t="n">
        <v>0</v>
      </c>
      <c r="L226" t="n">
        <v>0</v>
      </c>
      <c r="M226" t="n">
        <v>0</v>
      </c>
      <c r="N226" t="n">
        <v>0</v>
      </c>
      <c r="O226" t="n">
        <v>0</v>
      </c>
      <c r="P226" t="n">
        <v>0</v>
      </c>
      <c r="Q226" t="n">
        <v>0</v>
      </c>
      <c r="R226" s="2" t="inlineStr"/>
    </row>
    <row r="227" ht="15" customHeight="1">
      <c r="A227" t="inlineStr">
        <is>
          <t>A 20146-2024</t>
        </is>
      </c>
      <c r="B227" s="1" t="n">
        <v>45434.57641203704</v>
      </c>
      <c r="C227" s="1" t="n">
        <v>45935</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29554-2025</t>
        </is>
      </c>
      <c r="B228" s="1" t="n">
        <v>45825</v>
      </c>
      <c r="C228" s="1" t="n">
        <v>45935</v>
      </c>
      <c r="D228" t="inlineStr">
        <is>
          <t>ÖREBRO LÄN</t>
        </is>
      </c>
      <c r="E228" t="inlineStr">
        <is>
          <t>ÖREBRO</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5357-2024</t>
        </is>
      </c>
      <c r="B229" s="1" t="n">
        <v>45331</v>
      </c>
      <c r="C229" s="1" t="n">
        <v>45935</v>
      </c>
      <c r="D229" t="inlineStr">
        <is>
          <t>ÖREBRO LÄN</t>
        </is>
      </c>
      <c r="E229" t="inlineStr">
        <is>
          <t>ÖREBRO</t>
        </is>
      </c>
      <c r="G229" t="n">
        <v>0.7</v>
      </c>
      <c r="H229" t="n">
        <v>0</v>
      </c>
      <c r="I229" t="n">
        <v>0</v>
      </c>
      <c r="J229" t="n">
        <v>0</v>
      </c>
      <c r="K229" t="n">
        <v>0</v>
      </c>
      <c r="L229" t="n">
        <v>0</v>
      </c>
      <c r="M229" t="n">
        <v>0</v>
      </c>
      <c r="N229" t="n">
        <v>0</v>
      </c>
      <c r="O229" t="n">
        <v>0</v>
      </c>
      <c r="P229" t="n">
        <v>0</v>
      </c>
      <c r="Q229" t="n">
        <v>0</v>
      </c>
      <c r="R229" s="2" t="inlineStr"/>
    </row>
    <row r="230" ht="15" customHeight="1">
      <c r="A230" t="inlineStr">
        <is>
          <t>A 10937-2024</t>
        </is>
      </c>
      <c r="B230" s="1" t="n">
        <v>45370.44461805555</v>
      </c>
      <c r="C230" s="1" t="n">
        <v>45935</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57243-2022</t>
        </is>
      </c>
      <c r="B231" s="1" t="n">
        <v>44895.71835648148</v>
      </c>
      <c r="C231" s="1" t="n">
        <v>45935</v>
      </c>
      <c r="D231" t="inlineStr">
        <is>
          <t>ÖREBRO LÄN</t>
        </is>
      </c>
      <c r="E231" t="inlineStr">
        <is>
          <t>ÖREBRO</t>
        </is>
      </c>
      <c r="G231" t="n">
        <v>6</v>
      </c>
      <c r="H231" t="n">
        <v>0</v>
      </c>
      <c r="I231" t="n">
        <v>0</v>
      </c>
      <c r="J231" t="n">
        <v>0</v>
      </c>
      <c r="K231" t="n">
        <v>0</v>
      </c>
      <c r="L231" t="n">
        <v>0</v>
      </c>
      <c r="M231" t="n">
        <v>0</v>
      </c>
      <c r="N231" t="n">
        <v>0</v>
      </c>
      <c r="O231" t="n">
        <v>0</v>
      </c>
      <c r="P231" t="n">
        <v>0</v>
      </c>
      <c r="Q231" t="n">
        <v>0</v>
      </c>
      <c r="R231" s="2" t="inlineStr"/>
    </row>
    <row r="232" ht="15" customHeight="1">
      <c r="A232" t="inlineStr">
        <is>
          <t>A 44875-2025</t>
        </is>
      </c>
      <c r="B232" s="1" t="n">
        <v>45918.47043981482</v>
      </c>
      <c r="C232" s="1" t="n">
        <v>45935</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20115-2024</t>
        </is>
      </c>
      <c r="B233" s="1" t="n">
        <v>45434</v>
      </c>
      <c r="C233" s="1" t="n">
        <v>45935</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16936-2023</t>
        </is>
      </c>
      <c r="B234" s="1" t="n">
        <v>45033.63005787037</v>
      </c>
      <c r="C234" s="1" t="n">
        <v>45935</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40588-2021</t>
        </is>
      </c>
      <c r="B235" s="1" t="n">
        <v>44420</v>
      </c>
      <c r="C235" s="1" t="n">
        <v>45935</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40051-2024</t>
        </is>
      </c>
      <c r="B236" s="1" t="n">
        <v>45553</v>
      </c>
      <c r="C236" s="1" t="n">
        <v>45935</v>
      </c>
      <c r="D236" t="inlineStr">
        <is>
          <t>ÖREBRO LÄN</t>
        </is>
      </c>
      <c r="E236" t="inlineStr">
        <is>
          <t>ÖREBRO</t>
        </is>
      </c>
      <c r="G236" t="n">
        <v>3.5</v>
      </c>
      <c r="H236" t="n">
        <v>0</v>
      </c>
      <c r="I236" t="n">
        <v>0</v>
      </c>
      <c r="J236" t="n">
        <v>0</v>
      </c>
      <c r="K236" t="n">
        <v>0</v>
      </c>
      <c r="L236" t="n">
        <v>0</v>
      </c>
      <c r="M236" t="n">
        <v>0</v>
      </c>
      <c r="N236" t="n">
        <v>0</v>
      </c>
      <c r="O236" t="n">
        <v>0</v>
      </c>
      <c r="P236" t="n">
        <v>0</v>
      </c>
      <c r="Q236" t="n">
        <v>0</v>
      </c>
      <c r="R236" s="2" t="inlineStr"/>
    </row>
    <row r="237" ht="15" customHeight="1">
      <c r="A237" t="inlineStr">
        <is>
          <t>A 8565-2021</t>
        </is>
      </c>
      <c r="B237" s="1" t="n">
        <v>44245</v>
      </c>
      <c r="C237" s="1" t="n">
        <v>45935</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8575-2021</t>
        </is>
      </c>
      <c r="B238" s="1" t="n">
        <v>44245</v>
      </c>
      <c r="C238" s="1" t="n">
        <v>45935</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57485-2023</t>
        </is>
      </c>
      <c r="B239" s="1" t="n">
        <v>45246</v>
      </c>
      <c r="C239" s="1" t="n">
        <v>45935</v>
      </c>
      <c r="D239" t="inlineStr">
        <is>
          <t>ÖREBRO LÄN</t>
        </is>
      </c>
      <c r="E239" t="inlineStr">
        <is>
          <t>ÖREBRO</t>
        </is>
      </c>
      <c r="G239" t="n">
        <v>0.9</v>
      </c>
      <c r="H239" t="n">
        <v>0</v>
      </c>
      <c r="I239" t="n">
        <v>0</v>
      </c>
      <c r="J239" t="n">
        <v>0</v>
      </c>
      <c r="K239" t="n">
        <v>0</v>
      </c>
      <c r="L239" t="n">
        <v>0</v>
      </c>
      <c r="M239" t="n">
        <v>0</v>
      </c>
      <c r="N239" t="n">
        <v>0</v>
      </c>
      <c r="O239" t="n">
        <v>0</v>
      </c>
      <c r="P239" t="n">
        <v>0</v>
      </c>
      <c r="Q239" t="n">
        <v>0</v>
      </c>
      <c r="R239" s="2" t="inlineStr"/>
    </row>
    <row r="240" ht="15" customHeight="1">
      <c r="A240" t="inlineStr">
        <is>
          <t>A 50446-2023</t>
        </is>
      </c>
      <c r="B240" s="1" t="n">
        <v>45216</v>
      </c>
      <c r="C240" s="1" t="n">
        <v>45935</v>
      </c>
      <c r="D240" t="inlineStr">
        <is>
          <t>ÖREBRO LÄN</t>
        </is>
      </c>
      <c r="E240" t="inlineStr">
        <is>
          <t>ÖREBRO</t>
        </is>
      </c>
      <c r="F240" t="inlineStr">
        <is>
          <t>Övriga Aktiebolag</t>
        </is>
      </c>
      <c r="G240" t="n">
        <v>2.8</v>
      </c>
      <c r="H240" t="n">
        <v>0</v>
      </c>
      <c r="I240" t="n">
        <v>0</v>
      </c>
      <c r="J240" t="n">
        <v>0</v>
      </c>
      <c r="K240" t="n">
        <v>0</v>
      </c>
      <c r="L240" t="n">
        <v>0</v>
      </c>
      <c r="M240" t="n">
        <v>0</v>
      </c>
      <c r="N240" t="n">
        <v>0</v>
      </c>
      <c r="O240" t="n">
        <v>0</v>
      </c>
      <c r="P240" t="n">
        <v>0</v>
      </c>
      <c r="Q240" t="n">
        <v>0</v>
      </c>
      <c r="R240" s="2" t="inlineStr"/>
    </row>
    <row r="241" ht="15" customHeight="1">
      <c r="A241" t="inlineStr">
        <is>
          <t>A 50450-2023</t>
        </is>
      </c>
      <c r="B241" s="1" t="n">
        <v>45216.73533564815</v>
      </c>
      <c r="C241" s="1" t="n">
        <v>45935</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26117-2021</t>
        </is>
      </c>
      <c r="B242" s="1" t="n">
        <v>44345</v>
      </c>
      <c r="C242" s="1" t="n">
        <v>45935</v>
      </c>
      <c r="D242" t="inlineStr">
        <is>
          <t>ÖREBRO LÄN</t>
        </is>
      </c>
      <c r="E242" t="inlineStr">
        <is>
          <t>ÖREBRO</t>
        </is>
      </c>
      <c r="G242" t="n">
        <v>8.1</v>
      </c>
      <c r="H242" t="n">
        <v>0</v>
      </c>
      <c r="I242" t="n">
        <v>0</v>
      </c>
      <c r="J242" t="n">
        <v>0</v>
      </c>
      <c r="K242" t="n">
        <v>0</v>
      </c>
      <c r="L242" t="n">
        <v>0</v>
      </c>
      <c r="M242" t="n">
        <v>0</v>
      </c>
      <c r="N242" t="n">
        <v>0</v>
      </c>
      <c r="O242" t="n">
        <v>0</v>
      </c>
      <c r="P242" t="n">
        <v>0</v>
      </c>
      <c r="Q242" t="n">
        <v>0</v>
      </c>
      <c r="R242" s="2" t="inlineStr"/>
    </row>
    <row r="243" ht="15" customHeight="1">
      <c r="A243" t="inlineStr">
        <is>
          <t>A 37025-2024</t>
        </is>
      </c>
      <c r="B243" s="1" t="n">
        <v>45539.3840162037</v>
      </c>
      <c r="C243" s="1" t="n">
        <v>45935</v>
      </c>
      <c r="D243" t="inlineStr">
        <is>
          <t>ÖREBRO LÄN</t>
        </is>
      </c>
      <c r="E243" t="inlineStr">
        <is>
          <t>ÖREBRO</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37027-2024</t>
        </is>
      </c>
      <c r="B244" s="1" t="n">
        <v>45539.38487268519</v>
      </c>
      <c r="C244" s="1" t="n">
        <v>45935</v>
      </c>
      <c r="D244" t="inlineStr">
        <is>
          <t>ÖREBRO LÄN</t>
        </is>
      </c>
      <c r="E244" t="inlineStr">
        <is>
          <t>ÖREBRO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59265-2020</t>
        </is>
      </c>
      <c r="B245" s="1" t="n">
        <v>44147.67359953704</v>
      </c>
      <c r="C245" s="1" t="n">
        <v>45935</v>
      </c>
      <c r="D245" t="inlineStr">
        <is>
          <t>ÖREBRO LÄN</t>
        </is>
      </c>
      <c r="E245" t="inlineStr">
        <is>
          <t>ÖREBRO</t>
        </is>
      </c>
      <c r="G245" t="n">
        <v>2.4</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45935</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44960-2025</t>
        </is>
      </c>
      <c r="B247" s="1" t="n">
        <v>45918.61577546296</v>
      </c>
      <c r="C247" s="1" t="n">
        <v>45935</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60506-2024</t>
        </is>
      </c>
      <c r="B248" s="1" t="n">
        <v>45643.66630787037</v>
      </c>
      <c r="C248" s="1" t="n">
        <v>45935</v>
      </c>
      <c r="D248" t="inlineStr">
        <is>
          <t>ÖREBRO LÄN</t>
        </is>
      </c>
      <c r="E248" t="inlineStr">
        <is>
          <t>ÖREBRO</t>
        </is>
      </c>
      <c r="G248" t="n">
        <v>5.8</v>
      </c>
      <c r="H248" t="n">
        <v>0</v>
      </c>
      <c r="I248" t="n">
        <v>0</v>
      </c>
      <c r="J248" t="n">
        <v>0</v>
      </c>
      <c r="K248" t="n">
        <v>0</v>
      </c>
      <c r="L248" t="n">
        <v>0</v>
      </c>
      <c r="M248" t="n">
        <v>0</v>
      </c>
      <c r="N248" t="n">
        <v>0</v>
      </c>
      <c r="O248" t="n">
        <v>0</v>
      </c>
      <c r="P248" t="n">
        <v>0</v>
      </c>
      <c r="Q248" t="n">
        <v>0</v>
      </c>
      <c r="R248" s="2" t="inlineStr"/>
    </row>
    <row r="249" ht="15" customHeight="1">
      <c r="A249" t="inlineStr">
        <is>
          <t>A 6879-2024</t>
        </is>
      </c>
      <c r="B249" s="1" t="n">
        <v>45342.85280092592</v>
      </c>
      <c r="C249" s="1" t="n">
        <v>45935</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58032-2023</t>
        </is>
      </c>
      <c r="B250" s="1" t="n">
        <v>45247</v>
      </c>
      <c r="C250" s="1" t="n">
        <v>45935</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58035-2023</t>
        </is>
      </c>
      <c r="B251" s="1" t="n">
        <v>45247</v>
      </c>
      <c r="C251" s="1" t="n">
        <v>45935</v>
      </c>
      <c r="D251" t="inlineStr">
        <is>
          <t>ÖREBRO LÄN</t>
        </is>
      </c>
      <c r="E251" t="inlineStr">
        <is>
          <t>ÖREBRO</t>
        </is>
      </c>
      <c r="G251" t="n">
        <v>1.4</v>
      </c>
      <c r="H251" t="n">
        <v>0</v>
      </c>
      <c r="I251" t="n">
        <v>0</v>
      </c>
      <c r="J251" t="n">
        <v>0</v>
      </c>
      <c r="K251" t="n">
        <v>0</v>
      </c>
      <c r="L251" t="n">
        <v>0</v>
      </c>
      <c r="M251" t="n">
        <v>0</v>
      </c>
      <c r="N251" t="n">
        <v>0</v>
      </c>
      <c r="O251" t="n">
        <v>0</v>
      </c>
      <c r="P251" t="n">
        <v>0</v>
      </c>
      <c r="Q251" t="n">
        <v>0</v>
      </c>
      <c r="R251" s="2" t="inlineStr"/>
    </row>
    <row r="252" ht="15" customHeight="1">
      <c r="A252" t="inlineStr">
        <is>
          <t>A 44284-2022</t>
        </is>
      </c>
      <c r="B252" s="1" t="n">
        <v>44839.59194444444</v>
      </c>
      <c r="C252" s="1" t="n">
        <v>45935</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6387-2021</t>
        </is>
      </c>
      <c r="B253" s="1" t="n">
        <v>44235</v>
      </c>
      <c r="C253" s="1" t="n">
        <v>45935</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7506-2025</t>
        </is>
      </c>
      <c r="B254" s="1" t="n">
        <v>45705</v>
      </c>
      <c r="C254" s="1" t="n">
        <v>45935</v>
      </c>
      <c r="D254" t="inlineStr">
        <is>
          <t>ÖREBRO LÄN</t>
        </is>
      </c>
      <c r="E254" t="inlineStr">
        <is>
          <t>ÖREBRO</t>
        </is>
      </c>
      <c r="G254" t="n">
        <v>0.5</v>
      </c>
      <c r="H254" t="n">
        <v>0</v>
      </c>
      <c r="I254" t="n">
        <v>0</v>
      </c>
      <c r="J254" t="n">
        <v>0</v>
      </c>
      <c r="K254" t="n">
        <v>0</v>
      </c>
      <c r="L254" t="n">
        <v>0</v>
      </c>
      <c r="M254" t="n">
        <v>0</v>
      </c>
      <c r="N254" t="n">
        <v>0</v>
      </c>
      <c r="O254" t="n">
        <v>0</v>
      </c>
      <c r="P254" t="n">
        <v>0</v>
      </c>
      <c r="Q254" t="n">
        <v>0</v>
      </c>
      <c r="R254" s="2" t="inlineStr"/>
    </row>
    <row r="255" ht="15" customHeight="1">
      <c r="A255" t="inlineStr">
        <is>
          <t>A 35833-2024</t>
        </is>
      </c>
      <c r="B255" s="1" t="n">
        <v>45532.68699074074</v>
      </c>
      <c r="C255" s="1" t="n">
        <v>45935</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49465-2024</t>
        </is>
      </c>
      <c r="B256" s="1" t="n">
        <v>45596</v>
      </c>
      <c r="C256" s="1" t="n">
        <v>45935</v>
      </c>
      <c r="D256" t="inlineStr">
        <is>
          <t>ÖREBRO LÄN</t>
        </is>
      </c>
      <c r="E256" t="inlineStr">
        <is>
          <t>ÖREBRO</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38842-2022</t>
        </is>
      </c>
      <c r="B257" s="1" t="n">
        <v>44814</v>
      </c>
      <c r="C257" s="1" t="n">
        <v>45935</v>
      </c>
      <c r="D257" t="inlineStr">
        <is>
          <t>ÖREBRO LÄN</t>
        </is>
      </c>
      <c r="E257" t="inlineStr">
        <is>
          <t>ÖREBRO</t>
        </is>
      </c>
      <c r="G257" t="n">
        <v>5</v>
      </c>
      <c r="H257" t="n">
        <v>0</v>
      </c>
      <c r="I257" t="n">
        <v>0</v>
      </c>
      <c r="J257" t="n">
        <v>0</v>
      </c>
      <c r="K257" t="n">
        <v>0</v>
      </c>
      <c r="L257" t="n">
        <v>0</v>
      </c>
      <c r="M257" t="n">
        <v>0</v>
      </c>
      <c r="N257" t="n">
        <v>0</v>
      </c>
      <c r="O257" t="n">
        <v>0</v>
      </c>
      <c r="P257" t="n">
        <v>0</v>
      </c>
      <c r="Q257" t="n">
        <v>0</v>
      </c>
      <c r="R257" s="2" t="inlineStr"/>
    </row>
    <row r="258" ht="15" customHeight="1">
      <c r="A258" t="inlineStr">
        <is>
          <t>A 37022-2024</t>
        </is>
      </c>
      <c r="B258" s="1" t="n">
        <v>45539.3822337963</v>
      </c>
      <c r="C258" s="1" t="n">
        <v>45935</v>
      </c>
      <c r="D258" t="inlineStr">
        <is>
          <t>ÖREBRO LÄN</t>
        </is>
      </c>
      <c r="E258" t="inlineStr">
        <is>
          <t>ÖREBRO</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37024-2024</t>
        </is>
      </c>
      <c r="B259" s="1" t="n">
        <v>45539.38329861111</v>
      </c>
      <c r="C259" s="1" t="n">
        <v>45935</v>
      </c>
      <c r="D259" t="inlineStr">
        <is>
          <t>ÖREBRO LÄN</t>
        </is>
      </c>
      <c r="E259" t="inlineStr">
        <is>
          <t>ÖREBRO</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31240-2023</t>
        </is>
      </c>
      <c r="B260" s="1" t="n">
        <v>45114</v>
      </c>
      <c r="C260" s="1" t="n">
        <v>45935</v>
      </c>
      <c r="D260" t="inlineStr">
        <is>
          <t>ÖREBRO LÄN</t>
        </is>
      </c>
      <c r="E260" t="inlineStr">
        <is>
          <t>ÖREBRO</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11663-2024</t>
        </is>
      </c>
      <c r="B261" s="1" t="n">
        <v>45373</v>
      </c>
      <c r="C261" s="1" t="n">
        <v>45935</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14717-2024</t>
        </is>
      </c>
      <c r="B262" s="1" t="n">
        <v>45397.55104166667</v>
      </c>
      <c r="C262" s="1" t="n">
        <v>45935</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47047-2022</t>
        </is>
      </c>
      <c r="B263" s="1" t="n">
        <v>44852.39063657408</v>
      </c>
      <c r="C263" s="1" t="n">
        <v>45935</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58608-2024</t>
        </is>
      </c>
      <c r="B264" s="1" t="n">
        <v>45635.55185185185</v>
      </c>
      <c r="C264" s="1" t="n">
        <v>45935</v>
      </c>
      <c r="D264" t="inlineStr">
        <is>
          <t>ÖREBRO LÄN</t>
        </is>
      </c>
      <c r="E264" t="inlineStr">
        <is>
          <t>ÖREBRO</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37968-2024</t>
        </is>
      </c>
      <c r="B265" s="1" t="n">
        <v>45544</v>
      </c>
      <c r="C265" s="1" t="n">
        <v>45935</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45935</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25443-2021</t>
        </is>
      </c>
      <c r="B267" s="1" t="n">
        <v>44342</v>
      </c>
      <c r="C267" s="1" t="n">
        <v>45935</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13700-2024</t>
        </is>
      </c>
      <c r="B268" s="1" t="n">
        <v>45390.59277777778</v>
      </c>
      <c r="C268" s="1" t="n">
        <v>45935</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56040-2024</t>
        </is>
      </c>
      <c r="B269" s="1" t="n">
        <v>45624.3344212963</v>
      </c>
      <c r="C269" s="1" t="n">
        <v>45935</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14487-2023</t>
        </is>
      </c>
      <c r="B270" s="1" t="n">
        <v>45012</v>
      </c>
      <c r="C270" s="1" t="n">
        <v>45935</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6213-2021</t>
        </is>
      </c>
      <c r="B271" s="1" t="n">
        <v>44232</v>
      </c>
      <c r="C271" s="1" t="n">
        <v>45935</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58598-2022</t>
        </is>
      </c>
      <c r="B272" s="1" t="n">
        <v>44902</v>
      </c>
      <c r="C272" s="1" t="n">
        <v>45935</v>
      </c>
      <c r="D272" t="inlineStr">
        <is>
          <t>ÖREBRO LÄN</t>
        </is>
      </c>
      <c r="E272" t="inlineStr">
        <is>
          <t>ÖREBRO</t>
        </is>
      </c>
      <c r="G272" t="n">
        <v>0.4</v>
      </c>
      <c r="H272" t="n">
        <v>0</v>
      </c>
      <c r="I272" t="n">
        <v>0</v>
      </c>
      <c r="J272" t="n">
        <v>0</v>
      </c>
      <c r="K272" t="n">
        <v>0</v>
      </c>
      <c r="L272" t="n">
        <v>0</v>
      </c>
      <c r="M272" t="n">
        <v>0</v>
      </c>
      <c r="N272" t="n">
        <v>0</v>
      </c>
      <c r="O272" t="n">
        <v>0</v>
      </c>
      <c r="P272" t="n">
        <v>0</v>
      </c>
      <c r="Q272" t="n">
        <v>0</v>
      </c>
      <c r="R272" s="2" t="inlineStr"/>
    </row>
    <row r="273" ht="15" customHeight="1">
      <c r="A273" t="inlineStr">
        <is>
          <t>A 13158-2024</t>
        </is>
      </c>
      <c r="B273" s="1" t="n">
        <v>45386.38728009259</v>
      </c>
      <c r="C273" s="1" t="n">
        <v>45935</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5398-2022</t>
        </is>
      </c>
      <c r="B274" s="1" t="n">
        <v>44595.3353587963</v>
      </c>
      <c r="C274" s="1" t="n">
        <v>45935</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38057-2025</t>
        </is>
      </c>
      <c r="B275" s="1" t="n">
        <v>45882.42570601852</v>
      </c>
      <c r="C275" s="1" t="n">
        <v>45935</v>
      </c>
      <c r="D275" t="inlineStr">
        <is>
          <t>ÖREBRO LÄN</t>
        </is>
      </c>
      <c r="E275" t="inlineStr">
        <is>
          <t>ÖREBRO</t>
        </is>
      </c>
      <c r="G275" t="n">
        <v>3</v>
      </c>
      <c r="H275" t="n">
        <v>0</v>
      </c>
      <c r="I275" t="n">
        <v>0</v>
      </c>
      <c r="J275" t="n">
        <v>0</v>
      </c>
      <c r="K275" t="n">
        <v>0</v>
      </c>
      <c r="L275" t="n">
        <v>0</v>
      </c>
      <c r="M275" t="n">
        <v>0</v>
      </c>
      <c r="N275" t="n">
        <v>0</v>
      </c>
      <c r="O275" t="n">
        <v>0</v>
      </c>
      <c r="P275" t="n">
        <v>0</v>
      </c>
      <c r="Q275" t="n">
        <v>0</v>
      </c>
      <c r="R275" s="2" t="inlineStr"/>
    </row>
    <row r="276" ht="15" customHeight="1">
      <c r="A276" t="inlineStr">
        <is>
          <t>A 51331-2023</t>
        </is>
      </c>
      <c r="B276" s="1" t="n">
        <v>45219</v>
      </c>
      <c r="C276" s="1" t="n">
        <v>45935</v>
      </c>
      <c r="D276" t="inlineStr">
        <is>
          <t>ÖREBRO LÄN</t>
        </is>
      </c>
      <c r="E276" t="inlineStr">
        <is>
          <t>ÖREBRO</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38415-2023</t>
        </is>
      </c>
      <c r="B277" s="1" t="n">
        <v>45162.35502314815</v>
      </c>
      <c r="C277" s="1" t="n">
        <v>45935</v>
      </c>
      <c r="D277" t="inlineStr">
        <is>
          <t>ÖREBRO LÄN</t>
        </is>
      </c>
      <c r="E277" t="inlineStr">
        <is>
          <t>ÖREBRO</t>
        </is>
      </c>
      <c r="G277" t="n">
        <v>2.6</v>
      </c>
      <c r="H277" t="n">
        <v>0</v>
      </c>
      <c r="I277" t="n">
        <v>0</v>
      </c>
      <c r="J277" t="n">
        <v>0</v>
      </c>
      <c r="K277" t="n">
        <v>0</v>
      </c>
      <c r="L277" t="n">
        <v>0</v>
      </c>
      <c r="M277" t="n">
        <v>0</v>
      </c>
      <c r="N277" t="n">
        <v>0</v>
      </c>
      <c r="O277" t="n">
        <v>0</v>
      </c>
      <c r="P277" t="n">
        <v>0</v>
      </c>
      <c r="Q277" t="n">
        <v>0</v>
      </c>
      <c r="R277" s="2" t="inlineStr"/>
    </row>
    <row r="278" ht="15" customHeight="1">
      <c r="A278" t="inlineStr">
        <is>
          <t>A 60128-2023</t>
        </is>
      </c>
      <c r="B278" s="1" t="n">
        <v>45258</v>
      </c>
      <c r="C278" s="1" t="n">
        <v>45935</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40522-2024</t>
        </is>
      </c>
      <c r="B279" s="1" t="n">
        <v>45555.59717592593</v>
      </c>
      <c r="C279" s="1" t="n">
        <v>45935</v>
      </c>
      <c r="D279" t="inlineStr">
        <is>
          <t>ÖREBRO LÄN</t>
        </is>
      </c>
      <c r="E279" t="inlineStr">
        <is>
          <t>ÖREBRO</t>
        </is>
      </c>
      <c r="G279" t="n">
        <v>5.1</v>
      </c>
      <c r="H279" t="n">
        <v>0</v>
      </c>
      <c r="I279" t="n">
        <v>0</v>
      </c>
      <c r="J279" t="n">
        <v>0</v>
      </c>
      <c r="K279" t="n">
        <v>0</v>
      </c>
      <c r="L279" t="n">
        <v>0</v>
      </c>
      <c r="M279" t="n">
        <v>0</v>
      </c>
      <c r="N279" t="n">
        <v>0</v>
      </c>
      <c r="O279" t="n">
        <v>0</v>
      </c>
      <c r="P279" t="n">
        <v>0</v>
      </c>
      <c r="Q279" t="n">
        <v>0</v>
      </c>
      <c r="R279" s="2" t="inlineStr"/>
    </row>
    <row r="280" ht="15" customHeight="1">
      <c r="A280" t="inlineStr">
        <is>
          <t>A 18047-2023</t>
        </is>
      </c>
      <c r="B280" s="1" t="n">
        <v>45040</v>
      </c>
      <c r="C280" s="1" t="n">
        <v>45935</v>
      </c>
      <c r="D280" t="inlineStr">
        <is>
          <t>ÖREBRO LÄN</t>
        </is>
      </c>
      <c r="E280" t="inlineStr">
        <is>
          <t>ÖREBRO</t>
        </is>
      </c>
      <c r="G280" t="n">
        <v>3.9</v>
      </c>
      <c r="H280" t="n">
        <v>0</v>
      </c>
      <c r="I280" t="n">
        <v>0</v>
      </c>
      <c r="J280" t="n">
        <v>0</v>
      </c>
      <c r="K280" t="n">
        <v>0</v>
      </c>
      <c r="L280" t="n">
        <v>0</v>
      </c>
      <c r="M280" t="n">
        <v>0</v>
      </c>
      <c r="N280" t="n">
        <v>0</v>
      </c>
      <c r="O280" t="n">
        <v>0</v>
      </c>
      <c r="P280" t="n">
        <v>0</v>
      </c>
      <c r="Q280" t="n">
        <v>0</v>
      </c>
      <c r="R280" s="2" t="inlineStr"/>
    </row>
    <row r="281" ht="15" customHeight="1">
      <c r="A281" t="inlineStr">
        <is>
          <t>A 49797-2024</t>
        </is>
      </c>
      <c r="B281" s="1" t="n">
        <v>45597.37265046296</v>
      </c>
      <c r="C281" s="1" t="n">
        <v>45935</v>
      </c>
      <c r="D281" t="inlineStr">
        <is>
          <t>ÖREBRO LÄN</t>
        </is>
      </c>
      <c r="E281" t="inlineStr">
        <is>
          <t>ÖREBRO</t>
        </is>
      </c>
      <c r="G281" t="n">
        <v>11.6</v>
      </c>
      <c r="H281" t="n">
        <v>0</v>
      </c>
      <c r="I281" t="n">
        <v>0</v>
      </c>
      <c r="J281" t="n">
        <v>0</v>
      </c>
      <c r="K281" t="n">
        <v>0</v>
      </c>
      <c r="L281" t="n">
        <v>0</v>
      </c>
      <c r="M281" t="n">
        <v>0</v>
      </c>
      <c r="N281" t="n">
        <v>0</v>
      </c>
      <c r="O281" t="n">
        <v>0</v>
      </c>
      <c r="P281" t="n">
        <v>0</v>
      </c>
      <c r="Q281" t="n">
        <v>0</v>
      </c>
      <c r="R281" s="2" t="inlineStr"/>
    </row>
    <row r="282" ht="15" customHeight="1">
      <c r="A282" t="inlineStr">
        <is>
          <t>A 34874-2022</t>
        </is>
      </c>
      <c r="B282" s="1" t="n">
        <v>44796</v>
      </c>
      <c r="C282" s="1" t="n">
        <v>45935</v>
      </c>
      <c r="D282" t="inlineStr">
        <is>
          <t>ÖREBRO LÄN</t>
        </is>
      </c>
      <c r="E282" t="inlineStr">
        <is>
          <t>ÖREBRO</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49029-2024</t>
        </is>
      </c>
      <c r="B283" s="1" t="n">
        <v>45594</v>
      </c>
      <c r="C283" s="1" t="n">
        <v>45935</v>
      </c>
      <c r="D283" t="inlineStr">
        <is>
          <t>ÖREBRO LÄN</t>
        </is>
      </c>
      <c r="E283" t="inlineStr">
        <is>
          <t>ÖREBRO</t>
        </is>
      </c>
      <c r="G283" t="n">
        <v>3.7</v>
      </c>
      <c r="H283" t="n">
        <v>0</v>
      </c>
      <c r="I283" t="n">
        <v>0</v>
      </c>
      <c r="J283" t="n">
        <v>0</v>
      </c>
      <c r="K283" t="n">
        <v>0</v>
      </c>
      <c r="L283" t="n">
        <v>0</v>
      </c>
      <c r="M283" t="n">
        <v>0</v>
      </c>
      <c r="N283" t="n">
        <v>0</v>
      </c>
      <c r="O283" t="n">
        <v>0</v>
      </c>
      <c r="P283" t="n">
        <v>0</v>
      </c>
      <c r="Q283" t="n">
        <v>0</v>
      </c>
      <c r="R283" s="2" t="inlineStr"/>
    </row>
    <row r="284" ht="15" customHeight="1">
      <c r="A284" t="inlineStr">
        <is>
          <t>A 49062-2023</t>
        </is>
      </c>
      <c r="B284" s="1" t="n">
        <v>45210.35119212963</v>
      </c>
      <c r="C284" s="1" t="n">
        <v>45935</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852-2025</t>
        </is>
      </c>
      <c r="B285" s="1" t="n">
        <v>45665.60148148148</v>
      </c>
      <c r="C285" s="1" t="n">
        <v>45935</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35829-2024</t>
        </is>
      </c>
      <c r="B286" s="1" t="n">
        <v>45532</v>
      </c>
      <c r="C286" s="1" t="n">
        <v>45935</v>
      </c>
      <c r="D286" t="inlineStr">
        <is>
          <t>ÖREBRO LÄN</t>
        </is>
      </c>
      <c r="E286" t="inlineStr">
        <is>
          <t>ÖREBRO</t>
        </is>
      </c>
      <c r="G286" t="n">
        <v>4.6</v>
      </c>
      <c r="H286" t="n">
        <v>0</v>
      </c>
      <c r="I286" t="n">
        <v>0</v>
      </c>
      <c r="J286" t="n">
        <v>0</v>
      </c>
      <c r="K286" t="n">
        <v>0</v>
      </c>
      <c r="L286" t="n">
        <v>0</v>
      </c>
      <c r="M286" t="n">
        <v>0</v>
      </c>
      <c r="N286" t="n">
        <v>0</v>
      </c>
      <c r="O286" t="n">
        <v>0</v>
      </c>
      <c r="P286" t="n">
        <v>0</v>
      </c>
      <c r="Q286" t="n">
        <v>0</v>
      </c>
      <c r="R286" s="2" t="inlineStr"/>
    </row>
    <row r="287" ht="15" customHeight="1">
      <c r="A287" t="inlineStr">
        <is>
          <t>A 38583-2023</t>
        </is>
      </c>
      <c r="B287" s="1" t="n">
        <v>45162.62861111111</v>
      </c>
      <c r="C287" s="1" t="n">
        <v>45935</v>
      </c>
      <c r="D287" t="inlineStr">
        <is>
          <t>ÖREBRO LÄN</t>
        </is>
      </c>
      <c r="E287" t="inlineStr">
        <is>
          <t>ÖREBRO</t>
        </is>
      </c>
      <c r="G287" t="n">
        <v>5.7</v>
      </c>
      <c r="H287" t="n">
        <v>0</v>
      </c>
      <c r="I287" t="n">
        <v>0</v>
      </c>
      <c r="J287" t="n">
        <v>0</v>
      </c>
      <c r="K287" t="n">
        <v>0</v>
      </c>
      <c r="L287" t="n">
        <v>0</v>
      </c>
      <c r="M287" t="n">
        <v>0</v>
      </c>
      <c r="N287" t="n">
        <v>0</v>
      </c>
      <c r="O287" t="n">
        <v>0</v>
      </c>
      <c r="P287" t="n">
        <v>0</v>
      </c>
      <c r="Q287" t="n">
        <v>0</v>
      </c>
      <c r="R287" s="2" t="inlineStr"/>
    </row>
    <row r="288" ht="15" customHeight="1">
      <c r="A288" t="inlineStr">
        <is>
          <t>A 13181-2023</t>
        </is>
      </c>
      <c r="B288" s="1" t="n">
        <v>45002.60659722222</v>
      </c>
      <c r="C288" s="1" t="n">
        <v>45935</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61078-2024</t>
        </is>
      </c>
      <c r="B289" s="1" t="n">
        <v>45645.51034722223</v>
      </c>
      <c r="C289" s="1" t="n">
        <v>45935</v>
      </c>
      <c r="D289" t="inlineStr">
        <is>
          <t>ÖREBRO LÄN</t>
        </is>
      </c>
      <c r="E289" t="inlineStr">
        <is>
          <t>ÖREBRO</t>
        </is>
      </c>
      <c r="G289" t="n">
        <v>4.1</v>
      </c>
      <c r="H289" t="n">
        <v>0</v>
      </c>
      <c r="I289" t="n">
        <v>0</v>
      </c>
      <c r="J289" t="n">
        <v>0</v>
      </c>
      <c r="K289" t="n">
        <v>0</v>
      </c>
      <c r="L289" t="n">
        <v>0</v>
      </c>
      <c r="M289" t="n">
        <v>0</v>
      </c>
      <c r="N289" t="n">
        <v>0</v>
      </c>
      <c r="O289" t="n">
        <v>0</v>
      </c>
      <c r="P289" t="n">
        <v>0</v>
      </c>
      <c r="Q289" t="n">
        <v>0</v>
      </c>
      <c r="R289" s="2" t="inlineStr"/>
    </row>
    <row r="290" ht="15" customHeight="1">
      <c r="A290" t="inlineStr">
        <is>
          <t>A 62511-2023</t>
        </is>
      </c>
      <c r="B290" s="1" t="n">
        <v>45268.61855324074</v>
      </c>
      <c r="C290" s="1" t="n">
        <v>45935</v>
      </c>
      <c r="D290" t="inlineStr">
        <is>
          <t>ÖREBRO LÄN</t>
        </is>
      </c>
      <c r="E290" t="inlineStr">
        <is>
          <t>ÖREBRO</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55745-2023</t>
        </is>
      </c>
      <c r="B291" s="1" t="n">
        <v>45239.44811342593</v>
      </c>
      <c r="C291" s="1" t="n">
        <v>45935</v>
      </c>
      <c r="D291" t="inlineStr">
        <is>
          <t>ÖREBRO LÄN</t>
        </is>
      </c>
      <c r="E291" t="inlineStr">
        <is>
          <t>ÖREBRO</t>
        </is>
      </c>
      <c r="G291" t="n">
        <v>13.3</v>
      </c>
      <c r="H291" t="n">
        <v>0</v>
      </c>
      <c r="I291" t="n">
        <v>0</v>
      </c>
      <c r="J291" t="n">
        <v>0</v>
      </c>
      <c r="K291" t="n">
        <v>0</v>
      </c>
      <c r="L291" t="n">
        <v>0</v>
      </c>
      <c r="M291" t="n">
        <v>0</v>
      </c>
      <c r="N291" t="n">
        <v>0</v>
      </c>
      <c r="O291" t="n">
        <v>0</v>
      </c>
      <c r="P291" t="n">
        <v>0</v>
      </c>
      <c r="Q291" t="n">
        <v>0</v>
      </c>
      <c r="R291" s="2" t="inlineStr"/>
    </row>
    <row r="292" ht="15" customHeight="1">
      <c r="A292" t="inlineStr">
        <is>
          <t>A 38573-2023</t>
        </is>
      </c>
      <c r="B292" s="1" t="n">
        <v>45162.61837962963</v>
      </c>
      <c r="C292" s="1" t="n">
        <v>45935</v>
      </c>
      <c r="D292" t="inlineStr">
        <is>
          <t>ÖREBRO LÄN</t>
        </is>
      </c>
      <c r="E292" t="inlineStr">
        <is>
          <t>ÖREBRO</t>
        </is>
      </c>
      <c r="G292" t="n">
        <v>2.2</v>
      </c>
      <c r="H292" t="n">
        <v>0</v>
      </c>
      <c r="I292" t="n">
        <v>0</v>
      </c>
      <c r="J292" t="n">
        <v>0</v>
      </c>
      <c r="K292" t="n">
        <v>0</v>
      </c>
      <c r="L292" t="n">
        <v>0</v>
      </c>
      <c r="M292" t="n">
        <v>0</v>
      </c>
      <c r="N292" t="n">
        <v>0</v>
      </c>
      <c r="O292" t="n">
        <v>0</v>
      </c>
      <c r="P292" t="n">
        <v>0</v>
      </c>
      <c r="Q292" t="n">
        <v>0</v>
      </c>
      <c r="R292" s="2" t="inlineStr"/>
    </row>
    <row r="293" ht="15" customHeight="1">
      <c r="A293" t="inlineStr">
        <is>
          <t>A 13856-2022</t>
        </is>
      </c>
      <c r="B293" s="1" t="n">
        <v>44649.6965162037</v>
      </c>
      <c r="C293" s="1" t="n">
        <v>45935</v>
      </c>
      <c r="D293" t="inlineStr">
        <is>
          <t>ÖREBRO LÄN</t>
        </is>
      </c>
      <c r="E293" t="inlineStr">
        <is>
          <t>ÖREBRO</t>
        </is>
      </c>
      <c r="G293" t="n">
        <v>1.8</v>
      </c>
      <c r="H293" t="n">
        <v>0</v>
      </c>
      <c r="I293" t="n">
        <v>0</v>
      </c>
      <c r="J293" t="n">
        <v>0</v>
      </c>
      <c r="K293" t="n">
        <v>0</v>
      </c>
      <c r="L293" t="n">
        <v>0</v>
      </c>
      <c r="M293" t="n">
        <v>0</v>
      </c>
      <c r="N293" t="n">
        <v>0</v>
      </c>
      <c r="O293" t="n">
        <v>0</v>
      </c>
      <c r="P293" t="n">
        <v>0</v>
      </c>
      <c r="Q293" t="n">
        <v>0</v>
      </c>
      <c r="R293" s="2" t="inlineStr"/>
    </row>
    <row r="294" ht="15" customHeight="1">
      <c r="A294" t="inlineStr">
        <is>
          <t>A 52256-2023</t>
        </is>
      </c>
      <c r="B294" s="1" t="n">
        <v>45224.51471064815</v>
      </c>
      <c r="C294" s="1" t="n">
        <v>45935</v>
      </c>
      <c r="D294" t="inlineStr">
        <is>
          <t>ÖREBRO LÄN</t>
        </is>
      </c>
      <c r="E294" t="inlineStr">
        <is>
          <t>ÖREBRO</t>
        </is>
      </c>
      <c r="G294" t="n">
        <v>2.8</v>
      </c>
      <c r="H294" t="n">
        <v>0</v>
      </c>
      <c r="I294" t="n">
        <v>0</v>
      </c>
      <c r="J294" t="n">
        <v>0</v>
      </c>
      <c r="K294" t="n">
        <v>0</v>
      </c>
      <c r="L294" t="n">
        <v>0</v>
      </c>
      <c r="M294" t="n">
        <v>0</v>
      </c>
      <c r="N294" t="n">
        <v>0</v>
      </c>
      <c r="O294" t="n">
        <v>0</v>
      </c>
      <c r="P294" t="n">
        <v>0</v>
      </c>
      <c r="Q294" t="n">
        <v>0</v>
      </c>
      <c r="R294" s="2" t="inlineStr"/>
    </row>
    <row r="295" ht="15" customHeight="1">
      <c r="A295" t="inlineStr">
        <is>
          <t>A 55472-2023</t>
        </is>
      </c>
      <c r="B295" s="1" t="n">
        <v>45238</v>
      </c>
      <c r="C295" s="1" t="n">
        <v>45935</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66799-2020</t>
        </is>
      </c>
      <c r="B296" s="1" t="n">
        <v>44179</v>
      </c>
      <c r="C296" s="1" t="n">
        <v>45935</v>
      </c>
      <c r="D296" t="inlineStr">
        <is>
          <t>ÖREBRO LÄN</t>
        </is>
      </c>
      <c r="E296" t="inlineStr">
        <is>
          <t>ÖREBRO</t>
        </is>
      </c>
      <c r="G296" t="n">
        <v>5.2</v>
      </c>
      <c r="H296" t="n">
        <v>0</v>
      </c>
      <c r="I296" t="n">
        <v>0</v>
      </c>
      <c r="J296" t="n">
        <v>0</v>
      </c>
      <c r="K296" t="n">
        <v>0</v>
      </c>
      <c r="L296" t="n">
        <v>0</v>
      </c>
      <c r="M296" t="n">
        <v>0</v>
      </c>
      <c r="N296" t="n">
        <v>0</v>
      </c>
      <c r="O296" t="n">
        <v>0</v>
      </c>
      <c r="P296" t="n">
        <v>0</v>
      </c>
      <c r="Q296" t="n">
        <v>0</v>
      </c>
      <c r="R296" s="2" t="inlineStr"/>
    </row>
    <row r="297" ht="15" customHeight="1">
      <c r="A297" t="inlineStr">
        <is>
          <t>A 5129-2024</t>
        </is>
      </c>
      <c r="B297" s="1" t="n">
        <v>45330</v>
      </c>
      <c r="C297" s="1" t="n">
        <v>45935</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58486-2024</t>
        </is>
      </c>
      <c r="B298" s="1" t="n">
        <v>45635</v>
      </c>
      <c r="C298" s="1" t="n">
        <v>45935</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8022-2022</t>
        </is>
      </c>
      <c r="B299" s="1" t="n">
        <v>44609</v>
      </c>
      <c r="C299" s="1" t="n">
        <v>45935</v>
      </c>
      <c r="D299" t="inlineStr">
        <is>
          <t>ÖREBRO LÄN</t>
        </is>
      </c>
      <c r="E299" t="inlineStr">
        <is>
          <t>ÖREBRO</t>
        </is>
      </c>
      <c r="G299" t="n">
        <v>5.6</v>
      </c>
      <c r="H299" t="n">
        <v>0</v>
      </c>
      <c r="I299" t="n">
        <v>0</v>
      </c>
      <c r="J299" t="n">
        <v>0</v>
      </c>
      <c r="K299" t="n">
        <v>0</v>
      </c>
      <c r="L299" t="n">
        <v>0</v>
      </c>
      <c r="M299" t="n">
        <v>0</v>
      </c>
      <c r="N299" t="n">
        <v>0</v>
      </c>
      <c r="O299" t="n">
        <v>0</v>
      </c>
      <c r="P299" t="n">
        <v>0</v>
      </c>
      <c r="Q299" t="n">
        <v>0</v>
      </c>
      <c r="R299" s="2" t="inlineStr"/>
    </row>
    <row r="300" ht="15" customHeight="1">
      <c r="A300" t="inlineStr">
        <is>
          <t>A 29978-2024</t>
        </is>
      </c>
      <c r="B300" s="1" t="n">
        <v>45488.48340277778</v>
      </c>
      <c r="C300" s="1" t="n">
        <v>45935</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60289-2023</t>
        </is>
      </c>
      <c r="B301" s="1" t="n">
        <v>45257</v>
      </c>
      <c r="C301" s="1" t="n">
        <v>45935</v>
      </c>
      <c r="D301" t="inlineStr">
        <is>
          <t>ÖREBRO LÄN</t>
        </is>
      </c>
      <c r="E301" t="inlineStr">
        <is>
          <t>ÖREBRO</t>
        </is>
      </c>
      <c r="G301" t="n">
        <v>10.9</v>
      </c>
      <c r="H301" t="n">
        <v>0</v>
      </c>
      <c r="I301" t="n">
        <v>0</v>
      </c>
      <c r="J301" t="n">
        <v>0</v>
      </c>
      <c r="K301" t="n">
        <v>0</v>
      </c>
      <c r="L301" t="n">
        <v>0</v>
      </c>
      <c r="M301" t="n">
        <v>0</v>
      </c>
      <c r="N301" t="n">
        <v>0</v>
      </c>
      <c r="O301" t="n">
        <v>0</v>
      </c>
      <c r="P301" t="n">
        <v>0</v>
      </c>
      <c r="Q301" t="n">
        <v>0</v>
      </c>
      <c r="R301" s="2" t="inlineStr"/>
    </row>
    <row r="302" ht="15" customHeight="1">
      <c r="A302" t="inlineStr">
        <is>
          <t>A 12017-2024</t>
        </is>
      </c>
      <c r="B302" s="1" t="n">
        <v>45377</v>
      </c>
      <c r="C302" s="1" t="n">
        <v>45935</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54678-2023</t>
        </is>
      </c>
      <c r="B303" s="1" t="n">
        <v>45235</v>
      </c>
      <c r="C303" s="1" t="n">
        <v>45935</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19978-2025</t>
        </is>
      </c>
      <c r="B304" s="1" t="n">
        <v>45771.7062037037</v>
      </c>
      <c r="C304" s="1" t="n">
        <v>45935</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30015-2023</t>
        </is>
      </c>
      <c r="B305" s="1" t="n">
        <v>45109</v>
      </c>
      <c r="C305" s="1" t="n">
        <v>45935</v>
      </c>
      <c r="D305" t="inlineStr">
        <is>
          <t>ÖREBRO LÄN</t>
        </is>
      </c>
      <c r="E305" t="inlineStr">
        <is>
          <t>ÖREBRO</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7134-2025</t>
        </is>
      </c>
      <c r="B306" s="1" t="n">
        <v>45702</v>
      </c>
      <c r="C306" s="1" t="n">
        <v>45935</v>
      </c>
      <c r="D306" t="inlineStr">
        <is>
          <t>ÖREBRO LÄN</t>
        </is>
      </c>
      <c r="E306" t="inlineStr">
        <is>
          <t>ÖREBRO</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190-2024</t>
        </is>
      </c>
      <c r="B307" s="1" t="n">
        <v>45294.61858796296</v>
      </c>
      <c r="C307" s="1" t="n">
        <v>45935</v>
      </c>
      <c r="D307" t="inlineStr">
        <is>
          <t>ÖREBRO LÄN</t>
        </is>
      </c>
      <c r="E307" t="inlineStr">
        <is>
          <t>ÖREBRO</t>
        </is>
      </c>
      <c r="G307" t="n">
        <v>2.4</v>
      </c>
      <c r="H307" t="n">
        <v>0</v>
      </c>
      <c r="I307" t="n">
        <v>0</v>
      </c>
      <c r="J307" t="n">
        <v>0</v>
      </c>
      <c r="K307" t="n">
        <v>0</v>
      </c>
      <c r="L307" t="n">
        <v>0</v>
      </c>
      <c r="M307" t="n">
        <v>0</v>
      </c>
      <c r="N307" t="n">
        <v>0</v>
      </c>
      <c r="O307" t="n">
        <v>0</v>
      </c>
      <c r="P307" t="n">
        <v>0</v>
      </c>
      <c r="Q307" t="n">
        <v>0</v>
      </c>
      <c r="R307" s="2" t="inlineStr"/>
    </row>
    <row r="308" ht="15" customHeight="1">
      <c r="A308" t="inlineStr">
        <is>
          <t>A 1013-2024</t>
        </is>
      </c>
      <c r="B308" s="1" t="n">
        <v>45301</v>
      </c>
      <c r="C308" s="1" t="n">
        <v>45935</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45935</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8512-2025</t>
        </is>
      </c>
      <c r="B310" s="1" t="n">
        <v>45709.54873842592</v>
      </c>
      <c r="C310" s="1" t="n">
        <v>45935</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18550-2025</t>
        </is>
      </c>
      <c r="B311" s="1" t="n">
        <v>45763.43422453704</v>
      </c>
      <c r="C311" s="1" t="n">
        <v>45935</v>
      </c>
      <c r="D311" t="inlineStr">
        <is>
          <t>ÖREBRO LÄN</t>
        </is>
      </c>
      <c r="E311" t="inlineStr">
        <is>
          <t>ÖREBRO</t>
        </is>
      </c>
      <c r="G311" t="n">
        <v>11.5</v>
      </c>
      <c r="H311" t="n">
        <v>0</v>
      </c>
      <c r="I311" t="n">
        <v>0</v>
      </c>
      <c r="J311" t="n">
        <v>0</v>
      </c>
      <c r="K311" t="n">
        <v>0</v>
      </c>
      <c r="L311" t="n">
        <v>0</v>
      </c>
      <c r="M311" t="n">
        <v>0</v>
      </c>
      <c r="N311" t="n">
        <v>0</v>
      </c>
      <c r="O311" t="n">
        <v>0</v>
      </c>
      <c r="P311" t="n">
        <v>0</v>
      </c>
      <c r="Q311" t="n">
        <v>0</v>
      </c>
      <c r="R311" s="2" t="inlineStr"/>
    </row>
    <row r="312" ht="15" customHeight="1">
      <c r="A312" t="inlineStr">
        <is>
          <t>A 14715-2024</t>
        </is>
      </c>
      <c r="B312" s="1" t="n">
        <v>45397.5500462963</v>
      </c>
      <c r="C312" s="1" t="n">
        <v>45935</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16374-2022</t>
        </is>
      </c>
      <c r="B313" s="1" t="n">
        <v>44671</v>
      </c>
      <c r="C313" s="1" t="n">
        <v>45935</v>
      </c>
      <c r="D313" t="inlineStr">
        <is>
          <t>ÖREBRO LÄN</t>
        </is>
      </c>
      <c r="E313" t="inlineStr">
        <is>
          <t>ÖREBRO</t>
        </is>
      </c>
      <c r="F313" t="inlineStr">
        <is>
          <t>Övriga Aktiebolag</t>
        </is>
      </c>
      <c r="G313" t="n">
        <v>30.3</v>
      </c>
      <c r="H313" t="n">
        <v>0</v>
      </c>
      <c r="I313" t="n">
        <v>0</v>
      </c>
      <c r="J313" t="n">
        <v>0</v>
      </c>
      <c r="K313" t="n">
        <v>0</v>
      </c>
      <c r="L313" t="n">
        <v>0</v>
      </c>
      <c r="M313" t="n">
        <v>0</v>
      </c>
      <c r="N313" t="n">
        <v>0</v>
      </c>
      <c r="O313" t="n">
        <v>0</v>
      </c>
      <c r="P313" t="n">
        <v>0</v>
      </c>
      <c r="Q313" t="n">
        <v>0</v>
      </c>
      <c r="R313" s="2" t="inlineStr"/>
    </row>
    <row r="314" ht="15" customHeight="1">
      <c r="A314" t="inlineStr">
        <is>
          <t>A 52447-2024</t>
        </is>
      </c>
      <c r="B314" s="1" t="n">
        <v>45609.49157407408</v>
      </c>
      <c r="C314" s="1" t="n">
        <v>45935</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58145-2024</t>
        </is>
      </c>
      <c r="B315" s="1" t="n">
        <v>45632.43230324074</v>
      </c>
      <c r="C315" s="1" t="n">
        <v>45935</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45935</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45935</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55943-2024</t>
        </is>
      </c>
      <c r="B318" s="1" t="n">
        <v>45623.61278935185</v>
      </c>
      <c r="C318" s="1" t="n">
        <v>45935</v>
      </c>
      <c r="D318" t="inlineStr">
        <is>
          <t>ÖREBRO LÄN</t>
        </is>
      </c>
      <c r="E318" t="inlineStr">
        <is>
          <t>ÖREBRO</t>
        </is>
      </c>
      <c r="G318" t="n">
        <v>4.8</v>
      </c>
      <c r="H318" t="n">
        <v>0</v>
      </c>
      <c r="I318" t="n">
        <v>0</v>
      </c>
      <c r="J318" t="n">
        <v>0</v>
      </c>
      <c r="K318" t="n">
        <v>0</v>
      </c>
      <c r="L318" t="n">
        <v>0</v>
      </c>
      <c r="M318" t="n">
        <v>0</v>
      </c>
      <c r="N318" t="n">
        <v>0</v>
      </c>
      <c r="O318" t="n">
        <v>0</v>
      </c>
      <c r="P318" t="n">
        <v>0</v>
      </c>
      <c r="Q318" t="n">
        <v>0</v>
      </c>
      <c r="R318" s="2" t="inlineStr"/>
    </row>
    <row r="319" ht="15" customHeight="1">
      <c r="A319" t="inlineStr">
        <is>
          <t>A 13321-2024</t>
        </is>
      </c>
      <c r="B319" s="1" t="n">
        <v>45386.83142361111</v>
      </c>
      <c r="C319" s="1" t="n">
        <v>45935</v>
      </c>
      <c r="D319" t="inlineStr">
        <is>
          <t>ÖREBRO LÄN</t>
        </is>
      </c>
      <c r="E319" t="inlineStr">
        <is>
          <t>ÖREBRO</t>
        </is>
      </c>
      <c r="G319" t="n">
        <v>13.1</v>
      </c>
      <c r="H319" t="n">
        <v>0</v>
      </c>
      <c r="I319" t="n">
        <v>0</v>
      </c>
      <c r="J319" t="n">
        <v>0</v>
      </c>
      <c r="K319" t="n">
        <v>0</v>
      </c>
      <c r="L319" t="n">
        <v>0</v>
      </c>
      <c r="M319" t="n">
        <v>0</v>
      </c>
      <c r="N319" t="n">
        <v>0</v>
      </c>
      <c r="O319" t="n">
        <v>0</v>
      </c>
      <c r="P319" t="n">
        <v>0</v>
      </c>
      <c r="Q319" t="n">
        <v>0</v>
      </c>
      <c r="R319" s="2" t="inlineStr"/>
    </row>
    <row r="320" ht="15" customHeight="1">
      <c r="A320" t="inlineStr">
        <is>
          <t>A 16300-2022</t>
        </is>
      </c>
      <c r="B320" s="1" t="n">
        <v>44670</v>
      </c>
      <c r="C320" s="1" t="n">
        <v>45935</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60028-2024</t>
        </is>
      </c>
      <c r="B321" s="1" t="n">
        <v>45642</v>
      </c>
      <c r="C321" s="1" t="n">
        <v>45935</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18181-2024</t>
        </is>
      </c>
      <c r="B322" s="1" t="n">
        <v>45420.64561342593</v>
      </c>
      <c r="C322" s="1" t="n">
        <v>45935</v>
      </c>
      <c r="D322" t="inlineStr">
        <is>
          <t>ÖREBRO LÄN</t>
        </is>
      </c>
      <c r="E322" t="inlineStr">
        <is>
          <t>ÖREBRO</t>
        </is>
      </c>
      <c r="G322" t="n">
        <v>7.6</v>
      </c>
      <c r="H322" t="n">
        <v>0</v>
      </c>
      <c r="I322" t="n">
        <v>0</v>
      </c>
      <c r="J322" t="n">
        <v>0</v>
      </c>
      <c r="K322" t="n">
        <v>0</v>
      </c>
      <c r="L322" t="n">
        <v>0</v>
      </c>
      <c r="M322" t="n">
        <v>0</v>
      </c>
      <c r="N322" t="n">
        <v>0</v>
      </c>
      <c r="O322" t="n">
        <v>0</v>
      </c>
      <c r="P322" t="n">
        <v>0</v>
      </c>
      <c r="Q322" t="n">
        <v>0</v>
      </c>
      <c r="R322" s="2" t="inlineStr"/>
    </row>
    <row r="323" ht="15" customHeight="1">
      <c r="A323" t="inlineStr">
        <is>
          <t>A 70707-2021</t>
        </is>
      </c>
      <c r="B323" s="1" t="n">
        <v>44537</v>
      </c>
      <c r="C323" s="1" t="n">
        <v>45935</v>
      </c>
      <c r="D323" t="inlineStr">
        <is>
          <t>ÖREBRO LÄN</t>
        </is>
      </c>
      <c r="E323" t="inlineStr">
        <is>
          <t>ÖREBRO</t>
        </is>
      </c>
      <c r="G323" t="n">
        <v>13.2</v>
      </c>
      <c r="H323" t="n">
        <v>0</v>
      </c>
      <c r="I323" t="n">
        <v>0</v>
      </c>
      <c r="J323" t="n">
        <v>0</v>
      </c>
      <c r="K323" t="n">
        <v>0</v>
      </c>
      <c r="L323" t="n">
        <v>0</v>
      </c>
      <c r="M323" t="n">
        <v>0</v>
      </c>
      <c r="N323" t="n">
        <v>0</v>
      </c>
      <c r="O323" t="n">
        <v>0</v>
      </c>
      <c r="P323" t="n">
        <v>0</v>
      </c>
      <c r="Q323" t="n">
        <v>0</v>
      </c>
      <c r="R323" s="2" t="inlineStr"/>
    </row>
    <row r="324" ht="15" customHeight="1">
      <c r="A324" t="inlineStr">
        <is>
          <t>A 41678-2024</t>
        </is>
      </c>
      <c r="B324" s="1" t="n">
        <v>45560</v>
      </c>
      <c r="C324" s="1" t="n">
        <v>45935</v>
      </c>
      <c r="D324" t="inlineStr">
        <is>
          <t>ÖREBRO LÄN</t>
        </is>
      </c>
      <c r="E324" t="inlineStr">
        <is>
          <t>ÖREBRO</t>
        </is>
      </c>
      <c r="G324" t="n">
        <v>11.3</v>
      </c>
      <c r="H324" t="n">
        <v>0</v>
      </c>
      <c r="I324" t="n">
        <v>0</v>
      </c>
      <c r="J324" t="n">
        <v>0</v>
      </c>
      <c r="K324" t="n">
        <v>0</v>
      </c>
      <c r="L324" t="n">
        <v>0</v>
      </c>
      <c r="M324" t="n">
        <v>0</v>
      </c>
      <c r="N324" t="n">
        <v>0</v>
      </c>
      <c r="O324" t="n">
        <v>0</v>
      </c>
      <c r="P324" t="n">
        <v>0</v>
      </c>
      <c r="Q324" t="n">
        <v>0</v>
      </c>
      <c r="R324" s="2" t="inlineStr"/>
    </row>
    <row r="325" ht="15" customHeight="1">
      <c r="A325" t="inlineStr">
        <is>
          <t>A 15652-2025</t>
        </is>
      </c>
      <c r="B325" s="1" t="n">
        <v>45748</v>
      </c>
      <c r="C325" s="1" t="n">
        <v>45935</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6794-2025</t>
        </is>
      </c>
      <c r="B326" s="1" t="n">
        <v>45700.66429398148</v>
      </c>
      <c r="C326" s="1" t="n">
        <v>45935</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60100-2022</t>
        </is>
      </c>
      <c r="B327" s="1" t="n">
        <v>44902</v>
      </c>
      <c r="C327" s="1" t="n">
        <v>45935</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16737-2023</t>
        </is>
      </c>
      <c r="B328" s="1" t="n">
        <v>45030.72472222222</v>
      </c>
      <c r="C328" s="1" t="n">
        <v>45935</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2152-2023</t>
        </is>
      </c>
      <c r="B329" s="1" t="n">
        <v>44941.55056712963</v>
      </c>
      <c r="C329" s="1" t="n">
        <v>45935</v>
      </c>
      <c r="D329" t="inlineStr">
        <is>
          <t>ÖREBRO LÄN</t>
        </is>
      </c>
      <c r="E329" t="inlineStr">
        <is>
          <t>ÖREBRO</t>
        </is>
      </c>
      <c r="G329" t="n">
        <v>8</v>
      </c>
      <c r="H329" t="n">
        <v>0</v>
      </c>
      <c r="I329" t="n">
        <v>0</v>
      </c>
      <c r="J329" t="n">
        <v>0</v>
      </c>
      <c r="K329" t="n">
        <v>0</v>
      </c>
      <c r="L329" t="n">
        <v>0</v>
      </c>
      <c r="M329" t="n">
        <v>0</v>
      </c>
      <c r="N329" t="n">
        <v>0</v>
      </c>
      <c r="O329" t="n">
        <v>0</v>
      </c>
      <c r="P329" t="n">
        <v>0</v>
      </c>
      <c r="Q329" t="n">
        <v>0</v>
      </c>
      <c r="R329" s="2" t="inlineStr"/>
    </row>
    <row r="330" ht="15" customHeight="1">
      <c r="A330" t="inlineStr">
        <is>
          <t>A 8656-2025</t>
        </is>
      </c>
      <c r="B330" s="1" t="n">
        <v>45712.38268518518</v>
      </c>
      <c r="C330" s="1" t="n">
        <v>45935</v>
      </c>
      <c r="D330" t="inlineStr">
        <is>
          <t>ÖREBRO LÄN</t>
        </is>
      </c>
      <c r="E330" t="inlineStr">
        <is>
          <t>ÖREBRO</t>
        </is>
      </c>
      <c r="G330" t="n">
        <v>2.7</v>
      </c>
      <c r="H330" t="n">
        <v>0</v>
      </c>
      <c r="I330" t="n">
        <v>0</v>
      </c>
      <c r="J330" t="n">
        <v>0</v>
      </c>
      <c r="K330" t="n">
        <v>0</v>
      </c>
      <c r="L330" t="n">
        <v>0</v>
      </c>
      <c r="M330" t="n">
        <v>0</v>
      </c>
      <c r="N330" t="n">
        <v>0</v>
      </c>
      <c r="O330" t="n">
        <v>0</v>
      </c>
      <c r="P330" t="n">
        <v>0</v>
      </c>
      <c r="Q330" t="n">
        <v>0</v>
      </c>
      <c r="R330" s="2" t="inlineStr"/>
    </row>
    <row r="331" ht="15" customHeight="1">
      <c r="A331" t="inlineStr">
        <is>
          <t>A 5762-2025</t>
        </is>
      </c>
      <c r="B331" s="1" t="n">
        <v>45694.57181712963</v>
      </c>
      <c r="C331" s="1" t="n">
        <v>45935</v>
      </c>
      <c r="D331" t="inlineStr">
        <is>
          <t>ÖREBRO LÄN</t>
        </is>
      </c>
      <c r="E331" t="inlineStr">
        <is>
          <t>ÖREBRO</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13418-2024</t>
        </is>
      </c>
      <c r="B332" s="1" t="n">
        <v>45387.46482638889</v>
      </c>
      <c r="C332" s="1" t="n">
        <v>45935</v>
      </c>
      <c r="D332" t="inlineStr">
        <is>
          <t>ÖREBRO LÄN</t>
        </is>
      </c>
      <c r="E332" t="inlineStr">
        <is>
          <t>ÖREBRO</t>
        </is>
      </c>
      <c r="G332" t="n">
        <v>4.2</v>
      </c>
      <c r="H332" t="n">
        <v>0</v>
      </c>
      <c r="I332" t="n">
        <v>0</v>
      </c>
      <c r="J332" t="n">
        <v>0</v>
      </c>
      <c r="K332" t="n">
        <v>0</v>
      </c>
      <c r="L332" t="n">
        <v>0</v>
      </c>
      <c r="M332" t="n">
        <v>0</v>
      </c>
      <c r="N332" t="n">
        <v>0</v>
      </c>
      <c r="O332" t="n">
        <v>0</v>
      </c>
      <c r="P332" t="n">
        <v>0</v>
      </c>
      <c r="Q332" t="n">
        <v>0</v>
      </c>
      <c r="R332" s="2" t="inlineStr"/>
    </row>
    <row r="333" ht="15" customHeight="1">
      <c r="A333" t="inlineStr">
        <is>
          <t>A 55353-2024</t>
        </is>
      </c>
      <c r="B333" s="1" t="n">
        <v>45621.79526620371</v>
      </c>
      <c r="C333" s="1" t="n">
        <v>45935</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55357-2024</t>
        </is>
      </c>
      <c r="B334" s="1" t="n">
        <v>45621.81126157408</v>
      </c>
      <c r="C334" s="1" t="n">
        <v>45935</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51180-2023</t>
        </is>
      </c>
      <c r="B335" s="1" t="n">
        <v>45219</v>
      </c>
      <c r="C335" s="1" t="n">
        <v>45935</v>
      </c>
      <c r="D335" t="inlineStr">
        <is>
          <t>ÖREBRO LÄN</t>
        </is>
      </c>
      <c r="E335" t="inlineStr">
        <is>
          <t>ÖREBRO</t>
        </is>
      </c>
      <c r="G335" t="n">
        <v>6.5</v>
      </c>
      <c r="H335" t="n">
        <v>0</v>
      </c>
      <c r="I335" t="n">
        <v>0</v>
      </c>
      <c r="J335" t="n">
        <v>0</v>
      </c>
      <c r="K335" t="n">
        <v>0</v>
      </c>
      <c r="L335" t="n">
        <v>0</v>
      </c>
      <c r="M335" t="n">
        <v>0</v>
      </c>
      <c r="N335" t="n">
        <v>0</v>
      </c>
      <c r="O335" t="n">
        <v>0</v>
      </c>
      <c r="P335" t="n">
        <v>0</v>
      </c>
      <c r="Q335" t="n">
        <v>0</v>
      </c>
      <c r="R335" s="2" t="inlineStr"/>
    </row>
    <row r="336" ht="15" customHeight="1">
      <c r="A336" t="inlineStr">
        <is>
          <t>A 58621-2024</t>
        </is>
      </c>
      <c r="B336" s="1" t="n">
        <v>45635.56321759259</v>
      </c>
      <c r="C336" s="1" t="n">
        <v>45935</v>
      </c>
      <c r="D336" t="inlineStr">
        <is>
          <t>ÖREBRO LÄN</t>
        </is>
      </c>
      <c r="E336" t="inlineStr">
        <is>
          <t>ÖREBRO</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2596-2022</t>
        </is>
      </c>
      <c r="B337" s="1" t="n">
        <v>44580</v>
      </c>
      <c r="C337" s="1" t="n">
        <v>45935</v>
      </c>
      <c r="D337" t="inlineStr">
        <is>
          <t>ÖREBRO LÄN</t>
        </is>
      </c>
      <c r="E337" t="inlineStr">
        <is>
          <t>ÖREBRO</t>
        </is>
      </c>
      <c r="G337" t="n">
        <v>4.3</v>
      </c>
      <c r="H337" t="n">
        <v>0</v>
      </c>
      <c r="I337" t="n">
        <v>0</v>
      </c>
      <c r="J337" t="n">
        <v>0</v>
      </c>
      <c r="K337" t="n">
        <v>0</v>
      </c>
      <c r="L337" t="n">
        <v>0</v>
      </c>
      <c r="M337" t="n">
        <v>0</v>
      </c>
      <c r="N337" t="n">
        <v>0</v>
      </c>
      <c r="O337" t="n">
        <v>0</v>
      </c>
      <c r="P337" t="n">
        <v>0</v>
      </c>
      <c r="Q337" t="n">
        <v>0</v>
      </c>
      <c r="R337" s="2" t="inlineStr"/>
    </row>
    <row r="338" ht="15" customHeight="1">
      <c r="A338" t="inlineStr">
        <is>
          <t>A 42623-2022</t>
        </is>
      </c>
      <c r="B338" s="1" t="n">
        <v>44831</v>
      </c>
      <c r="C338" s="1" t="n">
        <v>45935</v>
      </c>
      <c r="D338" t="inlineStr">
        <is>
          <t>ÖREBRO LÄN</t>
        </is>
      </c>
      <c r="E338" t="inlineStr">
        <is>
          <t>ÖREBRO</t>
        </is>
      </c>
      <c r="G338" t="n">
        <v>3.6</v>
      </c>
      <c r="H338" t="n">
        <v>0</v>
      </c>
      <c r="I338" t="n">
        <v>0</v>
      </c>
      <c r="J338" t="n">
        <v>0</v>
      </c>
      <c r="K338" t="n">
        <v>0</v>
      </c>
      <c r="L338" t="n">
        <v>0</v>
      </c>
      <c r="M338" t="n">
        <v>0</v>
      </c>
      <c r="N338" t="n">
        <v>0</v>
      </c>
      <c r="O338" t="n">
        <v>0</v>
      </c>
      <c r="P338" t="n">
        <v>0</v>
      </c>
      <c r="Q338" t="n">
        <v>0</v>
      </c>
      <c r="R338" s="2" t="inlineStr"/>
    </row>
    <row r="339" ht="15" customHeight="1">
      <c r="A339" t="inlineStr">
        <is>
          <t>A 72329-2021</t>
        </is>
      </c>
      <c r="B339" s="1" t="n">
        <v>44545.46072916667</v>
      </c>
      <c r="C339" s="1" t="n">
        <v>45935</v>
      </c>
      <c r="D339" t="inlineStr">
        <is>
          <t>ÖREBRO LÄN</t>
        </is>
      </c>
      <c r="E339" t="inlineStr">
        <is>
          <t>ÖREBRO</t>
        </is>
      </c>
      <c r="G339" t="n">
        <v>0.5</v>
      </c>
      <c r="H339" t="n">
        <v>0</v>
      </c>
      <c r="I339" t="n">
        <v>0</v>
      </c>
      <c r="J339" t="n">
        <v>0</v>
      </c>
      <c r="K339" t="n">
        <v>0</v>
      </c>
      <c r="L339" t="n">
        <v>0</v>
      </c>
      <c r="M339" t="n">
        <v>0</v>
      </c>
      <c r="N339" t="n">
        <v>0</v>
      </c>
      <c r="O339" t="n">
        <v>0</v>
      </c>
      <c r="P339" t="n">
        <v>0</v>
      </c>
      <c r="Q339" t="n">
        <v>0</v>
      </c>
      <c r="R339" s="2" t="inlineStr"/>
    </row>
    <row r="340" ht="15" customHeight="1">
      <c r="A340" t="inlineStr">
        <is>
          <t>A 13857-2022</t>
        </is>
      </c>
      <c r="B340" s="1" t="n">
        <v>44649</v>
      </c>
      <c r="C340" s="1" t="n">
        <v>45935</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5578-2024</t>
        </is>
      </c>
      <c r="B341" s="1" t="n">
        <v>45334.49104166667</v>
      </c>
      <c r="C341" s="1" t="n">
        <v>45935</v>
      </c>
      <c r="D341" t="inlineStr">
        <is>
          <t>ÖREBRO LÄN</t>
        </is>
      </c>
      <c r="E341" t="inlineStr">
        <is>
          <t>ÖREBRO</t>
        </is>
      </c>
      <c r="G341" t="n">
        <v>2.4</v>
      </c>
      <c r="H341" t="n">
        <v>0</v>
      </c>
      <c r="I341" t="n">
        <v>0</v>
      </c>
      <c r="J341" t="n">
        <v>0</v>
      </c>
      <c r="K341" t="n">
        <v>0</v>
      </c>
      <c r="L341" t="n">
        <v>0</v>
      </c>
      <c r="M341" t="n">
        <v>0</v>
      </c>
      <c r="N341" t="n">
        <v>0</v>
      </c>
      <c r="O341" t="n">
        <v>0</v>
      </c>
      <c r="P341" t="n">
        <v>0</v>
      </c>
      <c r="Q341" t="n">
        <v>0</v>
      </c>
      <c r="R341" s="2" t="inlineStr"/>
    </row>
    <row r="342" ht="15" customHeight="1">
      <c r="A342" t="inlineStr">
        <is>
          <t>A 55692-2023</t>
        </is>
      </c>
      <c r="B342" s="1" t="n">
        <v>45239</v>
      </c>
      <c r="C342" s="1" t="n">
        <v>45935</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48644-2024</t>
        </is>
      </c>
      <c r="B343" s="1" t="n">
        <v>45593.47466435185</v>
      </c>
      <c r="C343" s="1" t="n">
        <v>45935</v>
      </c>
      <c r="D343" t="inlineStr">
        <is>
          <t>ÖREBRO LÄN</t>
        </is>
      </c>
      <c r="E343" t="inlineStr">
        <is>
          <t>ÖREBRO</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4344-2025</t>
        </is>
      </c>
      <c r="B344" s="1" t="n">
        <v>45685</v>
      </c>
      <c r="C344" s="1" t="n">
        <v>45935</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32086-2023</t>
        </is>
      </c>
      <c r="B345" s="1" t="n">
        <v>45119.59789351852</v>
      </c>
      <c r="C345" s="1" t="n">
        <v>45935</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22079-2023</t>
        </is>
      </c>
      <c r="B346" s="1" t="n">
        <v>45069</v>
      </c>
      <c r="C346" s="1" t="n">
        <v>45935</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15866-2022</t>
        </is>
      </c>
      <c r="B347" s="1" t="n">
        <v>44664</v>
      </c>
      <c r="C347" s="1" t="n">
        <v>45935</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2630-2023</t>
        </is>
      </c>
      <c r="B348" s="1" t="n">
        <v>44944.39105324074</v>
      </c>
      <c r="C348" s="1" t="n">
        <v>45935</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55355-2024</t>
        </is>
      </c>
      <c r="B349" s="1" t="n">
        <v>45621.80475694445</v>
      </c>
      <c r="C349" s="1" t="n">
        <v>45935</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5330-2024</t>
        </is>
      </c>
      <c r="B350" s="1" t="n">
        <v>45331.4187962963</v>
      </c>
      <c r="C350" s="1" t="n">
        <v>45935</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54925-2023</t>
        </is>
      </c>
      <c r="B351" s="1" t="n">
        <v>45229</v>
      </c>
      <c r="C351" s="1" t="n">
        <v>45935</v>
      </c>
      <c r="D351" t="inlineStr">
        <is>
          <t>ÖREBRO LÄN</t>
        </is>
      </c>
      <c r="E351" t="inlineStr">
        <is>
          <t>ÖREBRO</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10830-2023</t>
        </is>
      </c>
      <c r="B352" s="1" t="n">
        <v>44990.89752314815</v>
      </c>
      <c r="C352" s="1" t="n">
        <v>45935</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9585-2025</t>
        </is>
      </c>
      <c r="B353" s="1" t="n">
        <v>45715.63409722222</v>
      </c>
      <c r="C353" s="1" t="n">
        <v>45935</v>
      </c>
      <c r="D353" t="inlineStr">
        <is>
          <t>ÖREBRO LÄN</t>
        </is>
      </c>
      <c r="E353" t="inlineStr">
        <is>
          <t>ÖREBRO</t>
        </is>
      </c>
      <c r="G353" t="n">
        <v>3.4</v>
      </c>
      <c r="H353" t="n">
        <v>0</v>
      </c>
      <c r="I353" t="n">
        <v>0</v>
      </c>
      <c r="J353" t="n">
        <v>0</v>
      </c>
      <c r="K353" t="n">
        <v>0</v>
      </c>
      <c r="L353" t="n">
        <v>0</v>
      </c>
      <c r="M353" t="n">
        <v>0</v>
      </c>
      <c r="N353" t="n">
        <v>0</v>
      </c>
      <c r="O353" t="n">
        <v>0</v>
      </c>
      <c r="P353" t="n">
        <v>0</v>
      </c>
      <c r="Q353" t="n">
        <v>0</v>
      </c>
      <c r="R353" s="2" t="inlineStr"/>
    </row>
    <row r="354" ht="15" customHeight="1">
      <c r="A354" t="inlineStr">
        <is>
          <t>A 5125-2024</t>
        </is>
      </c>
      <c r="B354" s="1" t="n">
        <v>45330</v>
      </c>
      <c r="C354" s="1" t="n">
        <v>45935</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56077-2022</t>
        </is>
      </c>
      <c r="B355" s="1" t="n">
        <v>44889.60872685185</v>
      </c>
      <c r="C355" s="1" t="n">
        <v>45935</v>
      </c>
      <c r="D355" t="inlineStr">
        <is>
          <t>ÖREBRO LÄN</t>
        </is>
      </c>
      <c r="E355" t="inlineStr">
        <is>
          <t>ÖREBRO</t>
        </is>
      </c>
      <c r="F355" t="inlineStr">
        <is>
          <t>Övriga Aktiebolag</t>
        </is>
      </c>
      <c r="G355" t="n">
        <v>2.5</v>
      </c>
      <c r="H355" t="n">
        <v>0</v>
      </c>
      <c r="I355" t="n">
        <v>0</v>
      </c>
      <c r="J355" t="n">
        <v>0</v>
      </c>
      <c r="K355" t="n">
        <v>0</v>
      </c>
      <c r="L355" t="n">
        <v>0</v>
      </c>
      <c r="M355" t="n">
        <v>0</v>
      </c>
      <c r="N355" t="n">
        <v>0</v>
      </c>
      <c r="O355" t="n">
        <v>0</v>
      </c>
      <c r="P355" t="n">
        <v>0</v>
      </c>
      <c r="Q355" t="n">
        <v>0</v>
      </c>
      <c r="R355" s="2" t="inlineStr"/>
    </row>
    <row r="356" ht="15" customHeight="1">
      <c r="A356" t="inlineStr">
        <is>
          <t>A 28054-2022</t>
        </is>
      </c>
      <c r="B356" s="1" t="n">
        <v>44746.41938657407</v>
      </c>
      <c r="C356" s="1" t="n">
        <v>45935</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42138-2024</t>
        </is>
      </c>
      <c r="B357" s="1" t="n">
        <v>45562.41854166667</v>
      </c>
      <c r="C357" s="1" t="n">
        <v>45935</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26101-2022</t>
        </is>
      </c>
      <c r="B358" s="1" t="n">
        <v>44734</v>
      </c>
      <c r="C358" s="1" t="n">
        <v>45935</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541-2025</t>
        </is>
      </c>
      <c r="B359" s="1" t="n">
        <v>45664.52034722222</v>
      </c>
      <c r="C359" s="1" t="n">
        <v>45935</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2095-2025</t>
        </is>
      </c>
      <c r="B360" s="1" t="n">
        <v>45672</v>
      </c>
      <c r="C360" s="1" t="n">
        <v>45935</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71206-2021</t>
        </is>
      </c>
      <c r="B361" s="1" t="n">
        <v>44539</v>
      </c>
      <c r="C361" s="1" t="n">
        <v>45935</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53143-2023</t>
        </is>
      </c>
      <c r="B362" s="1" t="n">
        <v>45229</v>
      </c>
      <c r="C362" s="1" t="n">
        <v>45935</v>
      </c>
      <c r="D362" t="inlineStr">
        <is>
          <t>ÖREBRO LÄN</t>
        </is>
      </c>
      <c r="E362" t="inlineStr">
        <is>
          <t>ÖREBRO</t>
        </is>
      </c>
      <c r="G362" t="n">
        <v>3.3</v>
      </c>
      <c r="H362" t="n">
        <v>0</v>
      </c>
      <c r="I362" t="n">
        <v>0</v>
      </c>
      <c r="J362" t="n">
        <v>0</v>
      </c>
      <c r="K362" t="n">
        <v>0</v>
      </c>
      <c r="L362" t="n">
        <v>0</v>
      </c>
      <c r="M362" t="n">
        <v>0</v>
      </c>
      <c r="N362" t="n">
        <v>0</v>
      </c>
      <c r="O362" t="n">
        <v>0</v>
      </c>
      <c r="P362" t="n">
        <v>0</v>
      </c>
      <c r="Q362" t="n">
        <v>0</v>
      </c>
      <c r="R362" s="2" t="inlineStr"/>
    </row>
    <row r="363" ht="15" customHeight="1">
      <c r="A363" t="inlineStr">
        <is>
          <t>A 25407-2021</t>
        </is>
      </c>
      <c r="B363" s="1" t="n">
        <v>44342</v>
      </c>
      <c r="C363" s="1" t="n">
        <v>45935</v>
      </c>
      <c r="D363" t="inlineStr">
        <is>
          <t>ÖREBRO LÄN</t>
        </is>
      </c>
      <c r="E363" t="inlineStr">
        <is>
          <t>ÖREBRO</t>
        </is>
      </c>
      <c r="F363" t="inlineStr">
        <is>
          <t>Kommuner</t>
        </is>
      </c>
      <c r="G363" t="n">
        <v>7.2</v>
      </c>
      <c r="H363" t="n">
        <v>0</v>
      </c>
      <c r="I363" t="n">
        <v>0</v>
      </c>
      <c r="J363" t="n">
        <v>0</v>
      </c>
      <c r="K363" t="n">
        <v>0</v>
      </c>
      <c r="L363" t="n">
        <v>0</v>
      </c>
      <c r="M363" t="n">
        <v>0</v>
      </c>
      <c r="N363" t="n">
        <v>0</v>
      </c>
      <c r="O363" t="n">
        <v>0</v>
      </c>
      <c r="P363" t="n">
        <v>0</v>
      </c>
      <c r="Q363" t="n">
        <v>0</v>
      </c>
      <c r="R363" s="2" t="inlineStr"/>
    </row>
    <row r="364" ht="15" customHeight="1">
      <c r="A364" t="inlineStr">
        <is>
          <t>A 33457-2023</t>
        </is>
      </c>
      <c r="B364" s="1" t="n">
        <v>45131</v>
      </c>
      <c r="C364" s="1" t="n">
        <v>45935</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7141-2025</t>
        </is>
      </c>
      <c r="B365" s="1" t="n">
        <v>45702</v>
      </c>
      <c r="C365" s="1" t="n">
        <v>45935</v>
      </c>
      <c r="D365" t="inlineStr">
        <is>
          <t>ÖREBRO LÄN</t>
        </is>
      </c>
      <c r="E365" t="inlineStr">
        <is>
          <t>ÖREBRO</t>
        </is>
      </c>
      <c r="G365" t="n">
        <v>2.9</v>
      </c>
      <c r="H365" t="n">
        <v>0</v>
      </c>
      <c r="I365" t="n">
        <v>0</v>
      </c>
      <c r="J365" t="n">
        <v>0</v>
      </c>
      <c r="K365" t="n">
        <v>0</v>
      </c>
      <c r="L365" t="n">
        <v>0</v>
      </c>
      <c r="M365" t="n">
        <v>0</v>
      </c>
      <c r="N365" t="n">
        <v>0</v>
      </c>
      <c r="O365" t="n">
        <v>0</v>
      </c>
      <c r="P365" t="n">
        <v>0</v>
      </c>
      <c r="Q365" t="n">
        <v>0</v>
      </c>
      <c r="R365" s="2" t="inlineStr"/>
    </row>
    <row r="366" ht="15" customHeight="1">
      <c r="A366" t="inlineStr">
        <is>
          <t>A 48140-2024</t>
        </is>
      </c>
      <c r="B366" s="1" t="n">
        <v>45589.66474537037</v>
      </c>
      <c r="C366" s="1" t="n">
        <v>45935</v>
      </c>
      <c r="D366" t="inlineStr">
        <is>
          <t>ÖREBRO LÄN</t>
        </is>
      </c>
      <c r="E366" t="inlineStr">
        <is>
          <t>ÖREBRO</t>
        </is>
      </c>
      <c r="G366" t="n">
        <v>2.4</v>
      </c>
      <c r="H366" t="n">
        <v>0</v>
      </c>
      <c r="I366" t="n">
        <v>0</v>
      </c>
      <c r="J366" t="n">
        <v>0</v>
      </c>
      <c r="K366" t="n">
        <v>0</v>
      </c>
      <c r="L366" t="n">
        <v>0</v>
      </c>
      <c r="M366" t="n">
        <v>0</v>
      </c>
      <c r="N366" t="n">
        <v>0</v>
      </c>
      <c r="O366" t="n">
        <v>0</v>
      </c>
      <c r="P366" t="n">
        <v>0</v>
      </c>
      <c r="Q366" t="n">
        <v>0</v>
      </c>
      <c r="R366" s="2" t="inlineStr"/>
    </row>
    <row r="367" ht="15" customHeight="1">
      <c r="A367" t="inlineStr">
        <is>
          <t>A 41703-2024</t>
        </is>
      </c>
      <c r="B367" s="1" t="n">
        <v>45560</v>
      </c>
      <c r="C367" s="1" t="n">
        <v>45935</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45027-2024</t>
        </is>
      </c>
      <c r="B368" s="1" t="n">
        <v>45575</v>
      </c>
      <c r="C368" s="1" t="n">
        <v>45935</v>
      </c>
      <c r="D368" t="inlineStr">
        <is>
          <t>ÖREBRO LÄN</t>
        </is>
      </c>
      <c r="E368" t="inlineStr">
        <is>
          <t>ÖREBRO</t>
        </is>
      </c>
      <c r="G368" t="n">
        <v>6.3</v>
      </c>
      <c r="H368" t="n">
        <v>0</v>
      </c>
      <c r="I368" t="n">
        <v>0</v>
      </c>
      <c r="J368" t="n">
        <v>0</v>
      </c>
      <c r="K368" t="n">
        <v>0</v>
      </c>
      <c r="L368" t="n">
        <v>0</v>
      </c>
      <c r="M368" t="n">
        <v>0</v>
      </c>
      <c r="N368" t="n">
        <v>0</v>
      </c>
      <c r="O368" t="n">
        <v>0</v>
      </c>
      <c r="P368" t="n">
        <v>0</v>
      </c>
      <c r="Q368" t="n">
        <v>0</v>
      </c>
      <c r="R368" s="2" t="inlineStr"/>
    </row>
    <row r="369" ht="15" customHeight="1">
      <c r="A369" t="inlineStr">
        <is>
          <t>A 22677-2022</t>
        </is>
      </c>
      <c r="B369" s="1" t="n">
        <v>44714</v>
      </c>
      <c r="C369" s="1" t="n">
        <v>45935</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16140-2023</t>
        </is>
      </c>
      <c r="B370" s="1" t="n">
        <v>45027.6433912037</v>
      </c>
      <c r="C370" s="1" t="n">
        <v>45935</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13169-2024</t>
        </is>
      </c>
      <c r="B371" s="1" t="n">
        <v>45386.40489583334</v>
      </c>
      <c r="C371" s="1" t="n">
        <v>45935</v>
      </c>
      <c r="D371" t="inlineStr">
        <is>
          <t>ÖREBRO LÄN</t>
        </is>
      </c>
      <c r="E371" t="inlineStr">
        <is>
          <t>ÖREBRO</t>
        </is>
      </c>
      <c r="G371" t="n">
        <v>4.3</v>
      </c>
      <c r="H371" t="n">
        <v>0</v>
      </c>
      <c r="I371" t="n">
        <v>0</v>
      </c>
      <c r="J371" t="n">
        <v>0</v>
      </c>
      <c r="K371" t="n">
        <v>0</v>
      </c>
      <c r="L371" t="n">
        <v>0</v>
      </c>
      <c r="M371" t="n">
        <v>0</v>
      </c>
      <c r="N371" t="n">
        <v>0</v>
      </c>
      <c r="O371" t="n">
        <v>0</v>
      </c>
      <c r="P371" t="n">
        <v>0</v>
      </c>
      <c r="Q371" t="n">
        <v>0</v>
      </c>
      <c r="R371" s="2" t="inlineStr"/>
    </row>
    <row r="372" ht="15" customHeight="1">
      <c r="A372" t="inlineStr">
        <is>
          <t>A 23710-2022</t>
        </is>
      </c>
      <c r="B372" s="1" t="n">
        <v>44722</v>
      </c>
      <c r="C372" s="1" t="n">
        <v>45935</v>
      </c>
      <c r="D372" t="inlineStr">
        <is>
          <t>ÖREBRO LÄN</t>
        </is>
      </c>
      <c r="E372" t="inlineStr">
        <is>
          <t>ÖREBRO</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4757-2024</t>
        </is>
      </c>
      <c r="B373" s="1" t="n">
        <v>45328</v>
      </c>
      <c r="C373" s="1" t="n">
        <v>45935</v>
      </c>
      <c r="D373" t="inlineStr">
        <is>
          <t>ÖREBRO LÄN</t>
        </is>
      </c>
      <c r="E373" t="inlineStr">
        <is>
          <t>ÖREBRO</t>
        </is>
      </c>
      <c r="G373" t="n">
        <v>1.9</v>
      </c>
      <c r="H373" t="n">
        <v>0</v>
      </c>
      <c r="I373" t="n">
        <v>0</v>
      </c>
      <c r="J373" t="n">
        <v>0</v>
      </c>
      <c r="K373" t="n">
        <v>0</v>
      </c>
      <c r="L373" t="n">
        <v>0</v>
      </c>
      <c r="M373" t="n">
        <v>0</v>
      </c>
      <c r="N373" t="n">
        <v>0</v>
      </c>
      <c r="O373" t="n">
        <v>0</v>
      </c>
      <c r="P373" t="n">
        <v>0</v>
      </c>
      <c r="Q373" t="n">
        <v>0</v>
      </c>
      <c r="R373" s="2" t="inlineStr"/>
    </row>
    <row r="374" ht="15" customHeight="1">
      <c r="A374" t="inlineStr">
        <is>
          <t>A 39003-2025</t>
        </is>
      </c>
      <c r="B374" s="1" t="n">
        <v>45888.34467592592</v>
      </c>
      <c r="C374" s="1" t="n">
        <v>45935</v>
      </c>
      <c r="D374" t="inlineStr">
        <is>
          <t>ÖREBRO LÄN</t>
        </is>
      </c>
      <c r="E374" t="inlineStr">
        <is>
          <t>ÖREBRO</t>
        </is>
      </c>
      <c r="G374" t="n">
        <v>3.7</v>
      </c>
      <c r="H374" t="n">
        <v>0</v>
      </c>
      <c r="I374" t="n">
        <v>0</v>
      </c>
      <c r="J374" t="n">
        <v>0</v>
      </c>
      <c r="K374" t="n">
        <v>0</v>
      </c>
      <c r="L374" t="n">
        <v>0</v>
      </c>
      <c r="M374" t="n">
        <v>0</v>
      </c>
      <c r="N374" t="n">
        <v>0</v>
      </c>
      <c r="O374" t="n">
        <v>0</v>
      </c>
      <c r="P374" t="n">
        <v>0</v>
      </c>
      <c r="Q374" t="n">
        <v>0</v>
      </c>
      <c r="R374" s="2" t="inlineStr"/>
    </row>
    <row r="375" ht="15" customHeight="1">
      <c r="A375" t="inlineStr">
        <is>
          <t>A 30903-2024</t>
        </is>
      </c>
      <c r="B375" s="1" t="n">
        <v>45498.49946759259</v>
      </c>
      <c r="C375" s="1" t="n">
        <v>45935</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52391-2024</t>
        </is>
      </c>
      <c r="B376" s="1" t="n">
        <v>45609.43180555556</v>
      </c>
      <c r="C376" s="1" t="n">
        <v>45935</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52401-2024</t>
        </is>
      </c>
      <c r="B377" s="1" t="n">
        <v>45609.44553240741</v>
      </c>
      <c r="C377" s="1" t="n">
        <v>45935</v>
      </c>
      <c r="D377" t="inlineStr">
        <is>
          <t>ÖREBRO LÄN</t>
        </is>
      </c>
      <c r="E377" t="inlineStr">
        <is>
          <t>ÖREBRO</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15422-2022</t>
        </is>
      </c>
      <c r="B378" s="1" t="n">
        <v>44659.63753472222</v>
      </c>
      <c r="C378" s="1" t="n">
        <v>45935</v>
      </c>
      <c r="D378" t="inlineStr">
        <is>
          <t>ÖREBRO LÄN</t>
        </is>
      </c>
      <c r="E378" t="inlineStr">
        <is>
          <t>ÖREBRO</t>
        </is>
      </c>
      <c r="G378" t="n">
        <v>2</v>
      </c>
      <c r="H378" t="n">
        <v>0</v>
      </c>
      <c r="I378" t="n">
        <v>0</v>
      </c>
      <c r="J378" t="n">
        <v>0</v>
      </c>
      <c r="K378" t="n">
        <v>0</v>
      </c>
      <c r="L378" t="n">
        <v>0</v>
      </c>
      <c r="M378" t="n">
        <v>0</v>
      </c>
      <c r="N378" t="n">
        <v>0</v>
      </c>
      <c r="O378" t="n">
        <v>0</v>
      </c>
      <c r="P378" t="n">
        <v>0</v>
      </c>
      <c r="Q378" t="n">
        <v>0</v>
      </c>
      <c r="R378" s="2" t="inlineStr"/>
    </row>
    <row r="379" ht="15" customHeight="1">
      <c r="A379" t="inlineStr">
        <is>
          <t>A 33577-2023</t>
        </is>
      </c>
      <c r="B379" s="1" t="n">
        <v>45131</v>
      </c>
      <c r="C379" s="1" t="n">
        <v>45935</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47193-2023</t>
        </is>
      </c>
      <c r="B380" s="1" t="n">
        <v>45202.3074537037</v>
      </c>
      <c r="C380" s="1" t="n">
        <v>45935</v>
      </c>
      <c r="D380" t="inlineStr">
        <is>
          <t>ÖREBRO LÄN</t>
        </is>
      </c>
      <c r="E380" t="inlineStr">
        <is>
          <t>ÖREBRO</t>
        </is>
      </c>
      <c r="G380" t="n">
        <v>2.4</v>
      </c>
      <c r="H380" t="n">
        <v>0</v>
      </c>
      <c r="I380" t="n">
        <v>0</v>
      </c>
      <c r="J380" t="n">
        <v>0</v>
      </c>
      <c r="K380" t="n">
        <v>0</v>
      </c>
      <c r="L380" t="n">
        <v>0</v>
      </c>
      <c r="M380" t="n">
        <v>0</v>
      </c>
      <c r="N380" t="n">
        <v>0</v>
      </c>
      <c r="O380" t="n">
        <v>0</v>
      </c>
      <c r="P380" t="n">
        <v>0</v>
      </c>
      <c r="Q380" t="n">
        <v>0</v>
      </c>
      <c r="R380" s="2" t="inlineStr"/>
    </row>
    <row r="381" ht="15" customHeight="1">
      <c r="A381" t="inlineStr">
        <is>
          <t>A 59026-2024</t>
        </is>
      </c>
      <c r="B381" s="1" t="n">
        <v>45636.6875</v>
      </c>
      <c r="C381" s="1" t="n">
        <v>45935</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38489-2023</t>
        </is>
      </c>
      <c r="B382" s="1" t="n">
        <v>45162</v>
      </c>
      <c r="C382" s="1" t="n">
        <v>45935</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17465-2023</t>
        </is>
      </c>
      <c r="B383" s="1" t="n">
        <v>45036</v>
      </c>
      <c r="C383" s="1" t="n">
        <v>45935</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26338-2021</t>
        </is>
      </c>
      <c r="B384" s="1" t="n">
        <v>44347</v>
      </c>
      <c r="C384" s="1" t="n">
        <v>45935</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19763-2024</t>
        </is>
      </c>
      <c r="B385" s="1" t="n">
        <v>45432</v>
      </c>
      <c r="C385" s="1" t="n">
        <v>45935</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14545-2023</t>
        </is>
      </c>
      <c r="B386" s="1" t="n">
        <v>45013.34895833334</v>
      </c>
      <c r="C386" s="1" t="n">
        <v>45935</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54917-2023</t>
        </is>
      </c>
      <c r="B387" s="1" t="n">
        <v>45229</v>
      </c>
      <c r="C387" s="1" t="n">
        <v>45935</v>
      </c>
      <c r="D387" t="inlineStr">
        <is>
          <t>ÖREBRO LÄN</t>
        </is>
      </c>
      <c r="E387" t="inlineStr">
        <is>
          <t>ÖREBRO</t>
        </is>
      </c>
      <c r="G387" t="n">
        <v>3.1</v>
      </c>
      <c r="H387" t="n">
        <v>0</v>
      </c>
      <c r="I387" t="n">
        <v>0</v>
      </c>
      <c r="J387" t="n">
        <v>0</v>
      </c>
      <c r="K387" t="n">
        <v>0</v>
      </c>
      <c r="L387" t="n">
        <v>0</v>
      </c>
      <c r="M387" t="n">
        <v>0</v>
      </c>
      <c r="N387" t="n">
        <v>0</v>
      </c>
      <c r="O387" t="n">
        <v>0</v>
      </c>
      <c r="P387" t="n">
        <v>0</v>
      </c>
      <c r="Q387" t="n">
        <v>0</v>
      </c>
      <c r="R387" s="2" t="inlineStr"/>
    </row>
    <row r="388" ht="15" customHeight="1">
      <c r="A388" t="inlineStr">
        <is>
          <t>A 39446-2025</t>
        </is>
      </c>
      <c r="B388" s="1" t="n">
        <v>45889.70388888889</v>
      </c>
      <c r="C388" s="1" t="n">
        <v>45935</v>
      </c>
      <c r="D388" t="inlineStr">
        <is>
          <t>ÖREBRO LÄN</t>
        </is>
      </c>
      <c r="E388" t="inlineStr">
        <is>
          <t>ÖREBRO</t>
        </is>
      </c>
      <c r="F388" t="inlineStr">
        <is>
          <t>Kyrkan</t>
        </is>
      </c>
      <c r="G388" t="n">
        <v>3.2</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45935</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53234-2023</t>
        </is>
      </c>
      <c r="B390" s="1" t="n">
        <v>45229</v>
      </c>
      <c r="C390" s="1" t="n">
        <v>45935</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36635-2023</t>
        </is>
      </c>
      <c r="B391" s="1" t="n">
        <v>45153</v>
      </c>
      <c r="C391" s="1" t="n">
        <v>45935</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3652-2022</t>
        </is>
      </c>
      <c r="B392" s="1" t="n">
        <v>44586.46921296296</v>
      </c>
      <c r="C392" s="1" t="n">
        <v>45935</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37021-2024</t>
        </is>
      </c>
      <c r="B393" s="1" t="n">
        <v>45539.38146990741</v>
      </c>
      <c r="C393" s="1" t="n">
        <v>45935</v>
      </c>
      <c r="D393" t="inlineStr">
        <is>
          <t>ÖREBRO LÄN</t>
        </is>
      </c>
      <c r="E393" t="inlineStr">
        <is>
          <t>ÖREBRO</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46323-2024</t>
        </is>
      </c>
      <c r="B394" s="1" t="n">
        <v>45581.84538194445</v>
      </c>
      <c r="C394" s="1" t="n">
        <v>45935</v>
      </c>
      <c r="D394" t="inlineStr">
        <is>
          <t>ÖREBRO LÄN</t>
        </is>
      </c>
      <c r="E394" t="inlineStr">
        <is>
          <t>ÖREBRO</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59757-2023</t>
        </is>
      </c>
      <c r="B395" s="1" t="n">
        <v>45257.40833333333</v>
      </c>
      <c r="C395" s="1" t="n">
        <v>45935</v>
      </c>
      <c r="D395" t="inlineStr">
        <is>
          <t>ÖREBRO LÄN</t>
        </is>
      </c>
      <c r="E395" t="inlineStr">
        <is>
          <t>ÖREBRO</t>
        </is>
      </c>
      <c r="G395" t="n">
        <v>1</v>
      </c>
      <c r="H395" t="n">
        <v>0</v>
      </c>
      <c r="I395" t="n">
        <v>0</v>
      </c>
      <c r="J395" t="n">
        <v>0</v>
      </c>
      <c r="K395" t="n">
        <v>0</v>
      </c>
      <c r="L395" t="n">
        <v>0</v>
      </c>
      <c r="M395" t="n">
        <v>0</v>
      </c>
      <c r="N395" t="n">
        <v>0</v>
      </c>
      <c r="O395" t="n">
        <v>0</v>
      </c>
      <c r="P395" t="n">
        <v>0</v>
      </c>
      <c r="Q395" t="n">
        <v>0</v>
      </c>
      <c r="R395" s="2" t="inlineStr"/>
    </row>
    <row r="396" ht="15" customHeight="1">
      <c r="A396" t="inlineStr">
        <is>
          <t>A 11067-2025</t>
        </is>
      </c>
      <c r="B396" s="1" t="n">
        <v>45723</v>
      </c>
      <c r="C396" s="1" t="n">
        <v>45935</v>
      </c>
      <c r="D396" t="inlineStr">
        <is>
          <t>ÖREBRO LÄN</t>
        </is>
      </c>
      <c r="E396" t="inlineStr">
        <is>
          <t>ÖREBRO</t>
        </is>
      </c>
      <c r="G396" t="n">
        <v>3.1</v>
      </c>
      <c r="H396" t="n">
        <v>0</v>
      </c>
      <c r="I396" t="n">
        <v>0</v>
      </c>
      <c r="J396" t="n">
        <v>0</v>
      </c>
      <c r="K396" t="n">
        <v>0</v>
      </c>
      <c r="L396" t="n">
        <v>0</v>
      </c>
      <c r="M396" t="n">
        <v>0</v>
      </c>
      <c r="N396" t="n">
        <v>0</v>
      </c>
      <c r="O396" t="n">
        <v>0</v>
      </c>
      <c r="P396" t="n">
        <v>0</v>
      </c>
      <c r="Q396" t="n">
        <v>0</v>
      </c>
      <c r="R396" s="2" t="inlineStr"/>
    </row>
    <row r="397" ht="15" customHeight="1">
      <c r="A397" t="inlineStr">
        <is>
          <t>A 681-2024</t>
        </is>
      </c>
      <c r="B397" s="1" t="n">
        <v>45300</v>
      </c>
      <c r="C397" s="1" t="n">
        <v>45935</v>
      </c>
      <c r="D397" t="inlineStr">
        <is>
          <t>ÖREBRO LÄN</t>
        </is>
      </c>
      <c r="E397" t="inlineStr">
        <is>
          <t>ÖREBRO</t>
        </is>
      </c>
      <c r="G397" t="n">
        <v>3.3</v>
      </c>
      <c r="H397" t="n">
        <v>0</v>
      </c>
      <c r="I397" t="n">
        <v>0</v>
      </c>
      <c r="J397" t="n">
        <v>0</v>
      </c>
      <c r="K397" t="n">
        <v>0</v>
      </c>
      <c r="L397" t="n">
        <v>0</v>
      </c>
      <c r="M397" t="n">
        <v>0</v>
      </c>
      <c r="N397" t="n">
        <v>0</v>
      </c>
      <c r="O397" t="n">
        <v>0</v>
      </c>
      <c r="P397" t="n">
        <v>0</v>
      </c>
      <c r="Q397" t="n">
        <v>0</v>
      </c>
      <c r="R397" s="2" t="inlineStr"/>
    </row>
    <row r="398" ht="15" customHeight="1">
      <c r="A398" t="inlineStr">
        <is>
          <t>A 3659-2025</t>
        </is>
      </c>
      <c r="B398" s="1" t="n">
        <v>45681</v>
      </c>
      <c r="C398" s="1" t="n">
        <v>45935</v>
      </c>
      <c r="D398" t="inlineStr">
        <is>
          <t>ÖREBRO LÄN</t>
        </is>
      </c>
      <c r="E398" t="inlineStr">
        <is>
          <t>ÖREBRO</t>
        </is>
      </c>
      <c r="G398" t="n">
        <v>15.8</v>
      </c>
      <c r="H398" t="n">
        <v>0</v>
      </c>
      <c r="I398" t="n">
        <v>0</v>
      </c>
      <c r="J398" t="n">
        <v>0</v>
      </c>
      <c r="K398" t="n">
        <v>0</v>
      </c>
      <c r="L398" t="n">
        <v>0</v>
      </c>
      <c r="M398" t="n">
        <v>0</v>
      </c>
      <c r="N398" t="n">
        <v>0</v>
      </c>
      <c r="O398" t="n">
        <v>0</v>
      </c>
      <c r="P398" t="n">
        <v>0</v>
      </c>
      <c r="Q398" t="n">
        <v>0</v>
      </c>
      <c r="R398" s="2" t="inlineStr"/>
    </row>
    <row r="399" ht="15" customHeight="1">
      <c r="A399" t="inlineStr">
        <is>
          <t>A 13347-2023</t>
        </is>
      </c>
      <c r="B399" s="1" t="n">
        <v>45004</v>
      </c>
      <c r="C399" s="1" t="n">
        <v>45935</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6752-2022</t>
        </is>
      </c>
      <c r="B400" s="1" t="n">
        <v>44602.48082175926</v>
      </c>
      <c r="C400" s="1" t="n">
        <v>45935</v>
      </c>
      <c r="D400" t="inlineStr">
        <is>
          <t>ÖREBRO LÄN</t>
        </is>
      </c>
      <c r="E400" t="inlineStr">
        <is>
          <t>ÖREBRO</t>
        </is>
      </c>
      <c r="G400" t="n">
        <v>3.1</v>
      </c>
      <c r="H400" t="n">
        <v>0</v>
      </c>
      <c r="I400" t="n">
        <v>0</v>
      </c>
      <c r="J400" t="n">
        <v>0</v>
      </c>
      <c r="K400" t="n">
        <v>0</v>
      </c>
      <c r="L400" t="n">
        <v>0</v>
      </c>
      <c r="M400" t="n">
        <v>0</v>
      </c>
      <c r="N400" t="n">
        <v>0</v>
      </c>
      <c r="O400" t="n">
        <v>0</v>
      </c>
      <c r="P400" t="n">
        <v>0</v>
      </c>
      <c r="Q400" t="n">
        <v>0</v>
      </c>
      <c r="R400" s="2" t="inlineStr"/>
    </row>
    <row r="401" ht="15" customHeight="1">
      <c r="A401" t="inlineStr">
        <is>
          <t>A 52499-2024</t>
        </is>
      </c>
      <c r="B401" s="1" t="n">
        <v>45609.58422453704</v>
      </c>
      <c r="C401" s="1" t="n">
        <v>45935</v>
      </c>
      <c r="D401" t="inlineStr">
        <is>
          <t>ÖREBRO LÄN</t>
        </is>
      </c>
      <c r="E401" t="inlineStr">
        <is>
          <t>ÖREBRO</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8374-2021</t>
        </is>
      </c>
      <c r="B402" s="1" t="n">
        <v>44244</v>
      </c>
      <c r="C402" s="1" t="n">
        <v>45935</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21097-2025</t>
        </is>
      </c>
      <c r="B403" s="1" t="n">
        <v>45777.63863425926</v>
      </c>
      <c r="C403" s="1" t="n">
        <v>45935</v>
      </c>
      <c r="D403" t="inlineStr">
        <is>
          <t>ÖREBRO LÄN</t>
        </is>
      </c>
      <c r="E403" t="inlineStr">
        <is>
          <t>ÖREBRO</t>
        </is>
      </c>
      <c r="G403" t="n">
        <v>2.1</v>
      </c>
      <c r="H403" t="n">
        <v>0</v>
      </c>
      <c r="I403" t="n">
        <v>0</v>
      </c>
      <c r="J403" t="n">
        <v>0</v>
      </c>
      <c r="K403" t="n">
        <v>0</v>
      </c>
      <c r="L403" t="n">
        <v>0</v>
      </c>
      <c r="M403" t="n">
        <v>0</v>
      </c>
      <c r="N403" t="n">
        <v>0</v>
      </c>
      <c r="O403" t="n">
        <v>0</v>
      </c>
      <c r="P403" t="n">
        <v>0</v>
      </c>
      <c r="Q403" t="n">
        <v>0</v>
      </c>
      <c r="R403" s="2" t="inlineStr"/>
    </row>
    <row r="404" ht="15" customHeight="1">
      <c r="A404" t="inlineStr">
        <is>
          <t>A 57867-2024</t>
        </is>
      </c>
      <c r="B404" s="1" t="n">
        <v>45631.43864583333</v>
      </c>
      <c r="C404" s="1" t="n">
        <v>45935</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14960-2025</t>
        </is>
      </c>
      <c r="B405" s="1" t="n">
        <v>45743.5853125</v>
      </c>
      <c r="C405" s="1" t="n">
        <v>45935</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39479-2025</t>
        </is>
      </c>
      <c r="B406" s="1" t="n">
        <v>45890.34752314815</v>
      </c>
      <c r="C406" s="1" t="n">
        <v>45935</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13623-2024</t>
        </is>
      </c>
      <c r="B407" s="1" t="n">
        <v>45390.38626157407</v>
      </c>
      <c r="C407" s="1" t="n">
        <v>45935</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13355-2023</t>
        </is>
      </c>
      <c r="B408" s="1" t="n">
        <v>45004</v>
      </c>
      <c r="C408" s="1" t="n">
        <v>45935</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14544-2023</t>
        </is>
      </c>
      <c r="B409" s="1" t="n">
        <v>45013</v>
      </c>
      <c r="C409" s="1" t="n">
        <v>45935</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71272-2021</t>
        </is>
      </c>
      <c r="B410" s="1" t="n">
        <v>44539.61571759259</v>
      </c>
      <c r="C410" s="1" t="n">
        <v>45935</v>
      </c>
      <c r="D410" t="inlineStr">
        <is>
          <t>ÖREBRO LÄN</t>
        </is>
      </c>
      <c r="E410" t="inlineStr">
        <is>
          <t>ÖREBRO</t>
        </is>
      </c>
      <c r="G410" t="n">
        <v>0.9</v>
      </c>
      <c r="H410" t="n">
        <v>0</v>
      </c>
      <c r="I410" t="n">
        <v>0</v>
      </c>
      <c r="J410" t="n">
        <v>0</v>
      </c>
      <c r="K410" t="n">
        <v>0</v>
      </c>
      <c r="L410" t="n">
        <v>0</v>
      </c>
      <c r="M410" t="n">
        <v>0</v>
      </c>
      <c r="N410" t="n">
        <v>0</v>
      </c>
      <c r="O410" t="n">
        <v>0</v>
      </c>
      <c r="P410" t="n">
        <v>0</v>
      </c>
      <c r="Q410" t="n">
        <v>0</v>
      </c>
      <c r="R410" s="2" t="inlineStr"/>
    </row>
    <row r="411" ht="15" customHeight="1">
      <c r="A411" t="inlineStr">
        <is>
          <t>A 5619-2023</t>
        </is>
      </c>
      <c r="B411" s="1" t="n">
        <v>44958</v>
      </c>
      <c r="C411" s="1" t="n">
        <v>45935</v>
      </c>
      <c r="D411" t="inlineStr">
        <is>
          <t>ÖREBRO LÄN</t>
        </is>
      </c>
      <c r="E411" t="inlineStr">
        <is>
          <t>ÖREBRO</t>
        </is>
      </c>
      <c r="G411" t="n">
        <v>27</v>
      </c>
      <c r="H411" t="n">
        <v>0</v>
      </c>
      <c r="I411" t="n">
        <v>0</v>
      </c>
      <c r="J411" t="n">
        <v>0</v>
      </c>
      <c r="K411" t="n">
        <v>0</v>
      </c>
      <c r="L411" t="n">
        <v>0</v>
      </c>
      <c r="M411" t="n">
        <v>0</v>
      </c>
      <c r="N411" t="n">
        <v>0</v>
      </c>
      <c r="O411" t="n">
        <v>0</v>
      </c>
      <c r="P411" t="n">
        <v>0</v>
      </c>
      <c r="Q411" t="n">
        <v>0</v>
      </c>
      <c r="R411" s="2" t="inlineStr"/>
    </row>
    <row r="412" ht="15" customHeight="1">
      <c r="A412" t="inlineStr">
        <is>
          <t>A 3120-2022</t>
        </is>
      </c>
      <c r="B412" s="1" t="n">
        <v>44582</v>
      </c>
      <c r="C412" s="1" t="n">
        <v>45935</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37277-2022</t>
        </is>
      </c>
      <c r="B413" s="1" t="n">
        <v>44807.49150462963</v>
      </c>
      <c r="C413" s="1" t="n">
        <v>45935</v>
      </c>
      <c r="D413" t="inlineStr">
        <is>
          <t>ÖREBRO LÄN</t>
        </is>
      </c>
      <c r="E413" t="inlineStr">
        <is>
          <t>ÖREBRO</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19388-2024</t>
        </is>
      </c>
      <c r="B414" s="1" t="n">
        <v>45429.37775462963</v>
      </c>
      <c r="C414" s="1" t="n">
        <v>45935</v>
      </c>
      <c r="D414" t="inlineStr">
        <is>
          <t>ÖREBRO LÄN</t>
        </is>
      </c>
      <c r="E414" t="inlineStr">
        <is>
          <t>ÖREBRO</t>
        </is>
      </c>
      <c r="G414" t="n">
        <v>4.3</v>
      </c>
      <c r="H414" t="n">
        <v>0</v>
      </c>
      <c r="I414" t="n">
        <v>0</v>
      </c>
      <c r="J414" t="n">
        <v>0</v>
      </c>
      <c r="K414" t="n">
        <v>0</v>
      </c>
      <c r="L414" t="n">
        <v>0</v>
      </c>
      <c r="M414" t="n">
        <v>0</v>
      </c>
      <c r="N414" t="n">
        <v>0</v>
      </c>
      <c r="O414" t="n">
        <v>0</v>
      </c>
      <c r="P414" t="n">
        <v>0</v>
      </c>
      <c r="Q414" t="n">
        <v>0</v>
      </c>
      <c r="R414" s="2" t="inlineStr"/>
    </row>
    <row r="415" ht="15" customHeight="1">
      <c r="A415" t="inlineStr">
        <is>
          <t>A 35819-2024</t>
        </is>
      </c>
      <c r="B415" s="1" t="n">
        <v>45532</v>
      </c>
      <c r="C415" s="1" t="n">
        <v>45935</v>
      </c>
      <c r="D415" t="inlineStr">
        <is>
          <t>ÖREBRO LÄN</t>
        </is>
      </c>
      <c r="E415" t="inlineStr">
        <is>
          <t>ÖREBRO</t>
        </is>
      </c>
      <c r="G415" t="n">
        <v>6.4</v>
      </c>
      <c r="H415" t="n">
        <v>0</v>
      </c>
      <c r="I415" t="n">
        <v>0</v>
      </c>
      <c r="J415" t="n">
        <v>0</v>
      </c>
      <c r="K415" t="n">
        <v>0</v>
      </c>
      <c r="L415" t="n">
        <v>0</v>
      </c>
      <c r="M415" t="n">
        <v>0</v>
      </c>
      <c r="N415" t="n">
        <v>0</v>
      </c>
      <c r="O415" t="n">
        <v>0</v>
      </c>
      <c r="P415" t="n">
        <v>0</v>
      </c>
      <c r="Q415" t="n">
        <v>0</v>
      </c>
      <c r="R415" s="2" t="inlineStr"/>
    </row>
    <row r="416" ht="15" customHeight="1">
      <c r="A416" t="inlineStr">
        <is>
          <t>A 23573-2023</t>
        </is>
      </c>
      <c r="B416" s="1" t="n">
        <v>45077.41672453703</v>
      </c>
      <c r="C416" s="1" t="n">
        <v>45935</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45935</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61593-2023</t>
        </is>
      </c>
      <c r="B418" s="1" t="n">
        <v>45265</v>
      </c>
      <c r="C418" s="1" t="n">
        <v>45935</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32076-2023</t>
        </is>
      </c>
      <c r="B419" s="1" t="n">
        <v>45119.58324074074</v>
      </c>
      <c r="C419" s="1" t="n">
        <v>45935</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2318-2023</t>
        </is>
      </c>
      <c r="B420" s="1" t="n">
        <v>44942</v>
      </c>
      <c r="C420" s="1" t="n">
        <v>45935</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59024-2024</t>
        </is>
      </c>
      <c r="B421" s="1" t="n">
        <v>45636.68505787037</v>
      </c>
      <c r="C421" s="1" t="n">
        <v>45935</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21338-2025</t>
        </is>
      </c>
      <c r="B422" s="1" t="n">
        <v>45780</v>
      </c>
      <c r="C422" s="1" t="n">
        <v>45935</v>
      </c>
      <c r="D422" t="inlineStr">
        <is>
          <t>ÖREBRO LÄN</t>
        </is>
      </c>
      <c r="E422" t="inlineStr">
        <is>
          <t>ÖREBRO</t>
        </is>
      </c>
      <c r="G422" t="n">
        <v>3.2</v>
      </c>
      <c r="H422" t="n">
        <v>0</v>
      </c>
      <c r="I422" t="n">
        <v>0</v>
      </c>
      <c r="J422" t="n">
        <v>0</v>
      </c>
      <c r="K422" t="n">
        <v>0</v>
      </c>
      <c r="L422" t="n">
        <v>0</v>
      </c>
      <c r="M422" t="n">
        <v>0</v>
      </c>
      <c r="N422" t="n">
        <v>0</v>
      </c>
      <c r="O422" t="n">
        <v>0</v>
      </c>
      <c r="P422" t="n">
        <v>0</v>
      </c>
      <c r="Q422" t="n">
        <v>0</v>
      </c>
      <c r="R422" s="2" t="inlineStr"/>
    </row>
    <row r="423" ht="15" customHeight="1">
      <c r="A423" t="inlineStr">
        <is>
          <t>A 10339-2023</t>
        </is>
      </c>
      <c r="B423" s="1" t="n">
        <v>44987</v>
      </c>
      <c r="C423" s="1" t="n">
        <v>45935</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31247-2023</t>
        </is>
      </c>
      <c r="B424" s="1" t="n">
        <v>45114</v>
      </c>
      <c r="C424" s="1" t="n">
        <v>45935</v>
      </c>
      <c r="D424" t="inlineStr">
        <is>
          <t>ÖREBRO LÄN</t>
        </is>
      </c>
      <c r="E424" t="inlineStr">
        <is>
          <t>ÖREBRO</t>
        </is>
      </c>
      <c r="F424" t="inlineStr">
        <is>
          <t>Allmännings- och besparingsskogar</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16165-2023</t>
        </is>
      </c>
      <c r="B425" s="1" t="n">
        <v>45027</v>
      </c>
      <c r="C425" s="1" t="n">
        <v>45935</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58644-2023</t>
        </is>
      </c>
      <c r="B426" s="1" t="n">
        <v>45251.58716435185</v>
      </c>
      <c r="C426" s="1" t="n">
        <v>45935</v>
      </c>
      <c r="D426" t="inlineStr">
        <is>
          <t>ÖREBRO LÄN</t>
        </is>
      </c>
      <c r="E426" t="inlineStr">
        <is>
          <t>ÖREBRO</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39130-2023</t>
        </is>
      </c>
      <c r="B427" s="1" t="n">
        <v>45165</v>
      </c>
      <c r="C427" s="1" t="n">
        <v>45935</v>
      </c>
      <c r="D427" t="inlineStr">
        <is>
          <t>ÖREBRO LÄN</t>
        </is>
      </c>
      <c r="E427" t="inlineStr">
        <is>
          <t>ÖREBRO</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50398-2022</t>
        </is>
      </c>
      <c r="B428" s="1" t="n">
        <v>44861</v>
      </c>
      <c r="C428" s="1" t="n">
        <v>45935</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9379-2024</t>
        </is>
      </c>
      <c r="B429" s="1" t="n">
        <v>45359.37298611111</v>
      </c>
      <c r="C429" s="1" t="n">
        <v>45935</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22719-2025</t>
        </is>
      </c>
      <c r="B430" s="1" t="n">
        <v>45789</v>
      </c>
      <c r="C430" s="1" t="n">
        <v>45935</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764-2024</t>
        </is>
      </c>
      <c r="B431" s="1" t="n">
        <v>45300.51512731481</v>
      </c>
      <c r="C431" s="1" t="n">
        <v>45935</v>
      </c>
      <c r="D431" t="inlineStr">
        <is>
          <t>ÖREBRO LÄN</t>
        </is>
      </c>
      <c r="E431" t="inlineStr">
        <is>
          <t>ÖREBRO</t>
        </is>
      </c>
      <c r="G431" t="n">
        <v>2</v>
      </c>
      <c r="H431" t="n">
        <v>0</v>
      </c>
      <c r="I431" t="n">
        <v>0</v>
      </c>
      <c r="J431" t="n">
        <v>0</v>
      </c>
      <c r="K431" t="n">
        <v>0</v>
      </c>
      <c r="L431" t="n">
        <v>0</v>
      </c>
      <c r="M431" t="n">
        <v>0</v>
      </c>
      <c r="N431" t="n">
        <v>0</v>
      </c>
      <c r="O431" t="n">
        <v>0</v>
      </c>
      <c r="P431" t="n">
        <v>0</v>
      </c>
      <c r="Q431" t="n">
        <v>0</v>
      </c>
      <c r="R431" s="2" t="inlineStr"/>
    </row>
    <row r="432" ht="15" customHeight="1">
      <c r="A432" t="inlineStr">
        <is>
          <t>A 22755-2025</t>
        </is>
      </c>
      <c r="B432" s="1" t="n">
        <v>45789.61872685186</v>
      </c>
      <c r="C432" s="1" t="n">
        <v>45935</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34336-2024</t>
        </is>
      </c>
      <c r="B433" s="1" t="n">
        <v>45524.94774305556</v>
      </c>
      <c r="C433" s="1" t="n">
        <v>45935</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35345-2024</t>
        </is>
      </c>
      <c r="B434" s="1" t="n">
        <v>45530</v>
      </c>
      <c r="C434" s="1" t="n">
        <v>45935</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8568-2021</t>
        </is>
      </c>
      <c r="B435" s="1" t="n">
        <v>44245</v>
      </c>
      <c r="C435" s="1" t="n">
        <v>45935</v>
      </c>
      <c r="D435" t="inlineStr">
        <is>
          <t>ÖREBRO LÄN</t>
        </is>
      </c>
      <c r="E435" t="inlineStr">
        <is>
          <t>ÖREBRO</t>
        </is>
      </c>
      <c r="G435" t="n">
        <v>4.8</v>
      </c>
      <c r="H435" t="n">
        <v>0</v>
      </c>
      <c r="I435" t="n">
        <v>0</v>
      </c>
      <c r="J435" t="n">
        <v>0</v>
      </c>
      <c r="K435" t="n">
        <v>0</v>
      </c>
      <c r="L435" t="n">
        <v>0</v>
      </c>
      <c r="M435" t="n">
        <v>0</v>
      </c>
      <c r="N435" t="n">
        <v>0</v>
      </c>
      <c r="O435" t="n">
        <v>0</v>
      </c>
      <c r="P435" t="n">
        <v>0</v>
      </c>
      <c r="Q435" t="n">
        <v>0</v>
      </c>
      <c r="R435" s="2" t="inlineStr"/>
    </row>
    <row r="436" ht="15" customHeight="1">
      <c r="A436" t="inlineStr">
        <is>
          <t>A 15555-2025</t>
        </is>
      </c>
      <c r="B436" s="1" t="n">
        <v>45747.67768518518</v>
      </c>
      <c r="C436" s="1" t="n">
        <v>45935</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61279-2024</t>
        </is>
      </c>
      <c r="B437" s="1" t="n">
        <v>45645</v>
      </c>
      <c r="C437" s="1" t="n">
        <v>45935</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38790-2024</t>
        </is>
      </c>
      <c r="B438" s="1" t="n">
        <v>45547.48450231482</v>
      </c>
      <c r="C438" s="1" t="n">
        <v>45935</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71269-2021</t>
        </is>
      </c>
      <c r="B439" s="1" t="n">
        <v>44539</v>
      </c>
      <c r="C439" s="1" t="n">
        <v>45935</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45517-2023</t>
        </is>
      </c>
      <c r="B440" s="1" t="n">
        <v>45194.49594907407</v>
      </c>
      <c r="C440" s="1" t="n">
        <v>45935</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30316-2024</t>
        </is>
      </c>
      <c r="B441" s="1" t="n">
        <v>45490</v>
      </c>
      <c r="C441" s="1" t="n">
        <v>45935</v>
      </c>
      <c r="D441" t="inlineStr">
        <is>
          <t>ÖREBRO LÄN</t>
        </is>
      </c>
      <c r="E441" t="inlineStr">
        <is>
          <t>ÖREBRO</t>
        </is>
      </c>
      <c r="G441" t="n">
        <v>5.5</v>
      </c>
      <c r="H441" t="n">
        <v>0</v>
      </c>
      <c r="I441" t="n">
        <v>0</v>
      </c>
      <c r="J441" t="n">
        <v>0</v>
      </c>
      <c r="K441" t="n">
        <v>0</v>
      </c>
      <c r="L441" t="n">
        <v>0</v>
      </c>
      <c r="M441" t="n">
        <v>0</v>
      </c>
      <c r="N441" t="n">
        <v>0</v>
      </c>
      <c r="O441" t="n">
        <v>0</v>
      </c>
      <c r="P441" t="n">
        <v>0</v>
      </c>
      <c r="Q441" t="n">
        <v>0</v>
      </c>
      <c r="R441" s="2" t="inlineStr"/>
    </row>
    <row r="442" ht="15" customHeight="1">
      <c r="A442" t="inlineStr">
        <is>
          <t>A 32321-2023</t>
        </is>
      </c>
      <c r="B442" s="1" t="n">
        <v>45120</v>
      </c>
      <c r="C442" s="1" t="n">
        <v>45935</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44199-2024</t>
        </is>
      </c>
      <c r="B443" s="1" t="n">
        <v>45573</v>
      </c>
      <c r="C443" s="1" t="n">
        <v>45935</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4380-2025</t>
        </is>
      </c>
      <c r="B444" s="1" t="n">
        <v>45686.3959375</v>
      </c>
      <c r="C444" s="1" t="n">
        <v>45935</v>
      </c>
      <c r="D444" t="inlineStr">
        <is>
          <t>ÖREBRO LÄN</t>
        </is>
      </c>
      <c r="E444" t="inlineStr">
        <is>
          <t>ÖREBRO</t>
        </is>
      </c>
      <c r="G444" t="n">
        <v>3.2</v>
      </c>
      <c r="H444" t="n">
        <v>0</v>
      </c>
      <c r="I444" t="n">
        <v>0</v>
      </c>
      <c r="J444" t="n">
        <v>0</v>
      </c>
      <c r="K444" t="n">
        <v>0</v>
      </c>
      <c r="L444" t="n">
        <v>0</v>
      </c>
      <c r="M444" t="n">
        <v>0</v>
      </c>
      <c r="N444" t="n">
        <v>0</v>
      </c>
      <c r="O444" t="n">
        <v>0</v>
      </c>
      <c r="P444" t="n">
        <v>0</v>
      </c>
      <c r="Q444" t="n">
        <v>0</v>
      </c>
      <c r="R444" s="2" t="inlineStr"/>
    </row>
    <row r="445" ht="15" customHeight="1">
      <c r="A445" t="inlineStr">
        <is>
          <t>A 26443-2024</t>
        </is>
      </c>
      <c r="B445" s="1" t="n">
        <v>45469.49901620371</v>
      </c>
      <c r="C445" s="1" t="n">
        <v>45935</v>
      </c>
      <c r="D445" t="inlineStr">
        <is>
          <t>ÖREBRO LÄN</t>
        </is>
      </c>
      <c r="E445" t="inlineStr">
        <is>
          <t>ÖREBRO</t>
        </is>
      </c>
      <c r="G445" t="n">
        <v>5.7</v>
      </c>
      <c r="H445" t="n">
        <v>0</v>
      </c>
      <c r="I445" t="n">
        <v>0</v>
      </c>
      <c r="J445" t="n">
        <v>0</v>
      </c>
      <c r="K445" t="n">
        <v>0</v>
      </c>
      <c r="L445" t="n">
        <v>0</v>
      </c>
      <c r="M445" t="n">
        <v>0</v>
      </c>
      <c r="N445" t="n">
        <v>0</v>
      </c>
      <c r="O445" t="n">
        <v>0</v>
      </c>
      <c r="P445" t="n">
        <v>0</v>
      </c>
      <c r="Q445" t="n">
        <v>0</v>
      </c>
      <c r="R445" s="2" t="inlineStr"/>
    </row>
    <row r="446" ht="15" customHeight="1">
      <c r="A446" t="inlineStr">
        <is>
          <t>A 5136-2024</t>
        </is>
      </c>
      <c r="B446" s="1" t="n">
        <v>45330</v>
      </c>
      <c r="C446" s="1" t="n">
        <v>45935</v>
      </c>
      <c r="D446" t="inlineStr">
        <is>
          <t>ÖREBRO LÄN</t>
        </is>
      </c>
      <c r="E446" t="inlineStr">
        <is>
          <t>ÖREBRO</t>
        </is>
      </c>
      <c r="G446" t="n">
        <v>2.1</v>
      </c>
      <c r="H446" t="n">
        <v>0</v>
      </c>
      <c r="I446" t="n">
        <v>0</v>
      </c>
      <c r="J446" t="n">
        <v>0</v>
      </c>
      <c r="K446" t="n">
        <v>0</v>
      </c>
      <c r="L446" t="n">
        <v>0</v>
      </c>
      <c r="M446" t="n">
        <v>0</v>
      </c>
      <c r="N446" t="n">
        <v>0</v>
      </c>
      <c r="O446" t="n">
        <v>0</v>
      </c>
      <c r="P446" t="n">
        <v>0</v>
      </c>
      <c r="Q446" t="n">
        <v>0</v>
      </c>
      <c r="R446" s="2" t="inlineStr"/>
    </row>
    <row r="447" ht="15" customHeight="1">
      <c r="A447" t="inlineStr">
        <is>
          <t>A 35477-2024</t>
        </is>
      </c>
      <c r="B447" s="1" t="n">
        <v>45531</v>
      </c>
      <c r="C447" s="1" t="n">
        <v>45935</v>
      </c>
      <c r="D447" t="inlineStr">
        <is>
          <t>ÖREBRO LÄN</t>
        </is>
      </c>
      <c r="E447" t="inlineStr">
        <is>
          <t>ÖREBRO</t>
        </is>
      </c>
      <c r="G447" t="n">
        <v>2.4</v>
      </c>
      <c r="H447" t="n">
        <v>0</v>
      </c>
      <c r="I447" t="n">
        <v>0</v>
      </c>
      <c r="J447" t="n">
        <v>0</v>
      </c>
      <c r="K447" t="n">
        <v>0</v>
      </c>
      <c r="L447" t="n">
        <v>0</v>
      </c>
      <c r="M447" t="n">
        <v>0</v>
      </c>
      <c r="N447" t="n">
        <v>0</v>
      </c>
      <c r="O447" t="n">
        <v>0</v>
      </c>
      <c r="P447" t="n">
        <v>0</v>
      </c>
      <c r="Q447" t="n">
        <v>0</v>
      </c>
      <c r="R447" s="2" t="inlineStr"/>
    </row>
    <row r="448" ht="15" customHeight="1">
      <c r="A448" t="inlineStr">
        <is>
          <t>A 29138-2022</t>
        </is>
      </c>
      <c r="B448" s="1" t="n">
        <v>44750</v>
      </c>
      <c r="C448" s="1" t="n">
        <v>45935</v>
      </c>
      <c r="D448" t="inlineStr">
        <is>
          <t>ÖREBRO LÄN</t>
        </is>
      </c>
      <c r="E448" t="inlineStr">
        <is>
          <t>ÖREBRO</t>
        </is>
      </c>
      <c r="G448" t="n">
        <v>3.3</v>
      </c>
      <c r="H448" t="n">
        <v>0</v>
      </c>
      <c r="I448" t="n">
        <v>0</v>
      </c>
      <c r="J448" t="n">
        <v>0</v>
      </c>
      <c r="K448" t="n">
        <v>0</v>
      </c>
      <c r="L448" t="n">
        <v>0</v>
      </c>
      <c r="M448" t="n">
        <v>0</v>
      </c>
      <c r="N448" t="n">
        <v>0</v>
      </c>
      <c r="O448" t="n">
        <v>0</v>
      </c>
      <c r="P448" t="n">
        <v>0</v>
      </c>
      <c r="Q448" t="n">
        <v>0</v>
      </c>
      <c r="R448" s="2" t="inlineStr"/>
    </row>
    <row r="449" ht="15" customHeight="1">
      <c r="A449" t="inlineStr">
        <is>
          <t>A 29143-2022</t>
        </is>
      </c>
      <c r="B449" s="1" t="n">
        <v>44750</v>
      </c>
      <c r="C449" s="1" t="n">
        <v>45935</v>
      </c>
      <c r="D449" t="inlineStr">
        <is>
          <t>ÖREBRO LÄN</t>
        </is>
      </c>
      <c r="E449" t="inlineStr">
        <is>
          <t>ÖREBRO</t>
        </is>
      </c>
      <c r="G449" t="n">
        <v>5.6</v>
      </c>
      <c r="H449" t="n">
        <v>0</v>
      </c>
      <c r="I449" t="n">
        <v>0</v>
      </c>
      <c r="J449" t="n">
        <v>0</v>
      </c>
      <c r="K449" t="n">
        <v>0</v>
      </c>
      <c r="L449" t="n">
        <v>0</v>
      </c>
      <c r="M449" t="n">
        <v>0</v>
      </c>
      <c r="N449" t="n">
        <v>0</v>
      </c>
      <c r="O449" t="n">
        <v>0</v>
      </c>
      <c r="P449" t="n">
        <v>0</v>
      </c>
      <c r="Q449" t="n">
        <v>0</v>
      </c>
      <c r="R449" s="2" t="inlineStr"/>
    </row>
    <row r="450" ht="15" customHeight="1">
      <c r="A450" t="inlineStr">
        <is>
          <t>A 14234-2024</t>
        </is>
      </c>
      <c r="B450" s="1" t="n">
        <v>45393.46980324074</v>
      </c>
      <c r="C450" s="1" t="n">
        <v>45935</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5406-2025</t>
        </is>
      </c>
      <c r="B451" s="1" t="n">
        <v>45692.64821759259</v>
      </c>
      <c r="C451" s="1" t="n">
        <v>45935</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52018-2024</t>
        </is>
      </c>
      <c r="B452" s="1" t="n">
        <v>45607.82974537037</v>
      </c>
      <c r="C452" s="1" t="n">
        <v>45935</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4557-2023</t>
        </is>
      </c>
      <c r="B453" s="1" t="n">
        <v>44956.6655787037</v>
      </c>
      <c r="C453" s="1" t="n">
        <v>45935</v>
      </c>
      <c r="D453" t="inlineStr">
        <is>
          <t>ÖREBRO LÄN</t>
        </is>
      </c>
      <c r="E453" t="inlineStr">
        <is>
          <t>ÖREBRO</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53558-2023</t>
        </is>
      </c>
      <c r="B454" s="1" t="n">
        <v>45230.47266203703</v>
      </c>
      <c r="C454" s="1" t="n">
        <v>45935</v>
      </c>
      <c r="D454" t="inlineStr">
        <is>
          <t>ÖREBRO LÄN</t>
        </is>
      </c>
      <c r="E454" t="inlineStr">
        <is>
          <t>ÖREBRO</t>
        </is>
      </c>
      <c r="F454" t="inlineStr">
        <is>
          <t>Övriga Aktiebolag</t>
        </is>
      </c>
      <c r="G454" t="n">
        <v>4.7</v>
      </c>
      <c r="H454" t="n">
        <v>0</v>
      </c>
      <c r="I454" t="n">
        <v>0</v>
      </c>
      <c r="J454" t="n">
        <v>0</v>
      </c>
      <c r="K454" t="n">
        <v>0</v>
      </c>
      <c r="L454" t="n">
        <v>0</v>
      </c>
      <c r="M454" t="n">
        <v>0</v>
      </c>
      <c r="N454" t="n">
        <v>0</v>
      </c>
      <c r="O454" t="n">
        <v>0</v>
      </c>
      <c r="P454" t="n">
        <v>0</v>
      </c>
      <c r="Q454" t="n">
        <v>0</v>
      </c>
      <c r="R454" s="2" t="inlineStr"/>
    </row>
    <row r="455" ht="15" customHeight="1">
      <c r="A455" t="inlineStr">
        <is>
          <t>A 46518-2023</t>
        </is>
      </c>
      <c r="B455" s="1" t="n">
        <v>45197.72777777778</v>
      </c>
      <c r="C455" s="1" t="n">
        <v>45935</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7692-2023</t>
        </is>
      </c>
      <c r="B456" s="1" t="n">
        <v>44972.7762962963</v>
      </c>
      <c r="C456" s="1" t="n">
        <v>45935</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46056-2024</t>
        </is>
      </c>
      <c r="B457" s="1" t="n">
        <v>45580.91502314815</v>
      </c>
      <c r="C457" s="1" t="n">
        <v>45935</v>
      </c>
      <c r="D457" t="inlineStr">
        <is>
          <t>ÖREBRO LÄN</t>
        </is>
      </c>
      <c r="E457" t="inlineStr">
        <is>
          <t>ÖREBRO</t>
        </is>
      </c>
      <c r="F457" t="inlineStr">
        <is>
          <t>Övriga Aktiebolag</t>
        </is>
      </c>
      <c r="G457" t="n">
        <v>4.5</v>
      </c>
      <c r="H457" t="n">
        <v>0</v>
      </c>
      <c r="I457" t="n">
        <v>0</v>
      </c>
      <c r="J457" t="n">
        <v>0</v>
      </c>
      <c r="K457" t="n">
        <v>0</v>
      </c>
      <c r="L457" t="n">
        <v>0</v>
      </c>
      <c r="M457" t="n">
        <v>0</v>
      </c>
      <c r="N457" t="n">
        <v>0</v>
      </c>
      <c r="O457" t="n">
        <v>0</v>
      </c>
      <c r="P457" t="n">
        <v>0</v>
      </c>
      <c r="Q457" t="n">
        <v>0</v>
      </c>
      <c r="R457" s="2" t="inlineStr"/>
    </row>
    <row r="458" ht="15" customHeight="1">
      <c r="A458" t="inlineStr">
        <is>
          <t>A 34358-2022</t>
        </is>
      </c>
      <c r="B458" s="1" t="n">
        <v>44792.45494212963</v>
      </c>
      <c r="C458" s="1" t="n">
        <v>45935</v>
      </c>
      <c r="D458" t="inlineStr">
        <is>
          <t>ÖREBRO LÄN</t>
        </is>
      </c>
      <c r="E458" t="inlineStr">
        <is>
          <t>ÖREBRO</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22348-2024</t>
        </is>
      </c>
      <c r="B459" s="1" t="n">
        <v>45446.61256944444</v>
      </c>
      <c r="C459" s="1" t="n">
        <v>45935</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57638-2022</t>
        </is>
      </c>
      <c r="B460" s="1" t="n">
        <v>44897</v>
      </c>
      <c r="C460" s="1" t="n">
        <v>45935</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15695-2024</t>
        </is>
      </c>
      <c r="B461" s="1" t="n">
        <v>45404.45487268519</v>
      </c>
      <c r="C461" s="1" t="n">
        <v>45935</v>
      </c>
      <c r="D461" t="inlineStr">
        <is>
          <t>ÖREBRO LÄN</t>
        </is>
      </c>
      <c r="E461" t="inlineStr">
        <is>
          <t>ÖREBRO</t>
        </is>
      </c>
      <c r="G461" t="n">
        <v>2.7</v>
      </c>
      <c r="H461" t="n">
        <v>0</v>
      </c>
      <c r="I461" t="n">
        <v>0</v>
      </c>
      <c r="J461" t="n">
        <v>0</v>
      </c>
      <c r="K461" t="n">
        <v>0</v>
      </c>
      <c r="L461" t="n">
        <v>0</v>
      </c>
      <c r="M461" t="n">
        <v>0</v>
      </c>
      <c r="N461" t="n">
        <v>0</v>
      </c>
      <c r="O461" t="n">
        <v>0</v>
      </c>
      <c r="P461" t="n">
        <v>0</v>
      </c>
      <c r="Q461" t="n">
        <v>0</v>
      </c>
      <c r="R461" s="2" t="inlineStr"/>
    </row>
    <row r="462" ht="15" customHeight="1">
      <c r="A462" t="inlineStr">
        <is>
          <t>A 30089-2024</t>
        </is>
      </c>
      <c r="B462" s="1" t="n">
        <v>45485</v>
      </c>
      <c r="C462" s="1" t="n">
        <v>45935</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5643-2025</t>
        </is>
      </c>
      <c r="B463" s="1" t="n">
        <v>45693</v>
      </c>
      <c r="C463" s="1" t="n">
        <v>45935</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8274-2025</t>
        </is>
      </c>
      <c r="B464" s="1" t="n">
        <v>45708</v>
      </c>
      <c r="C464" s="1" t="n">
        <v>45935</v>
      </c>
      <c r="D464" t="inlineStr">
        <is>
          <t>ÖREBRO LÄN</t>
        </is>
      </c>
      <c r="E464" t="inlineStr">
        <is>
          <t>ÖREBRO</t>
        </is>
      </c>
      <c r="G464" t="n">
        <v>5.8</v>
      </c>
      <c r="H464" t="n">
        <v>0</v>
      </c>
      <c r="I464" t="n">
        <v>0</v>
      </c>
      <c r="J464" t="n">
        <v>0</v>
      </c>
      <c r="K464" t="n">
        <v>0</v>
      </c>
      <c r="L464" t="n">
        <v>0</v>
      </c>
      <c r="M464" t="n">
        <v>0</v>
      </c>
      <c r="N464" t="n">
        <v>0</v>
      </c>
      <c r="O464" t="n">
        <v>0</v>
      </c>
      <c r="P464" t="n">
        <v>0</v>
      </c>
      <c r="Q464" t="n">
        <v>0</v>
      </c>
      <c r="R464" s="2" t="inlineStr"/>
    </row>
    <row r="465" ht="15" customHeight="1">
      <c r="A465" t="inlineStr">
        <is>
          <t>A 7634-2024</t>
        </is>
      </c>
      <c r="B465" s="1" t="n">
        <v>45348</v>
      </c>
      <c r="C465" s="1" t="n">
        <v>45935</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58208-2024</t>
        </is>
      </c>
      <c r="B466" s="1" t="n">
        <v>45632</v>
      </c>
      <c r="C466" s="1" t="n">
        <v>45935</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46030-2024</t>
        </is>
      </c>
      <c r="B467" s="1" t="n">
        <v>45580.70377314815</v>
      </c>
      <c r="C467" s="1" t="n">
        <v>45935</v>
      </c>
      <c r="D467" t="inlineStr">
        <is>
          <t>ÖREBRO LÄN</t>
        </is>
      </c>
      <c r="E467" t="inlineStr">
        <is>
          <t>ÖREBRO</t>
        </is>
      </c>
      <c r="G467" t="n">
        <v>3.9</v>
      </c>
      <c r="H467" t="n">
        <v>0</v>
      </c>
      <c r="I467" t="n">
        <v>0</v>
      </c>
      <c r="J467" t="n">
        <v>0</v>
      </c>
      <c r="K467" t="n">
        <v>0</v>
      </c>
      <c r="L467" t="n">
        <v>0</v>
      </c>
      <c r="M467" t="n">
        <v>0</v>
      </c>
      <c r="N467" t="n">
        <v>0</v>
      </c>
      <c r="O467" t="n">
        <v>0</v>
      </c>
      <c r="P467" t="n">
        <v>0</v>
      </c>
      <c r="Q467" t="n">
        <v>0</v>
      </c>
      <c r="R467" s="2" t="inlineStr"/>
    </row>
    <row r="468" ht="15" customHeight="1">
      <c r="A468" t="inlineStr">
        <is>
          <t>A 71266-2021</t>
        </is>
      </c>
      <c r="B468" s="1" t="n">
        <v>44539</v>
      </c>
      <c r="C468" s="1" t="n">
        <v>45935</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71267-2021</t>
        </is>
      </c>
      <c r="B469" s="1" t="n">
        <v>44539</v>
      </c>
      <c r="C469" s="1" t="n">
        <v>45935</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71280-2021</t>
        </is>
      </c>
      <c r="B470" s="1" t="n">
        <v>44539</v>
      </c>
      <c r="C470" s="1" t="n">
        <v>45935</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5342-2024</t>
        </is>
      </c>
      <c r="B471" s="1" t="n">
        <v>45331.44145833333</v>
      </c>
      <c r="C471" s="1" t="n">
        <v>45935</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71295-2021</t>
        </is>
      </c>
      <c r="B472" s="1" t="n">
        <v>44539.63009259259</v>
      </c>
      <c r="C472" s="1" t="n">
        <v>45935</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21983-2021</t>
        </is>
      </c>
      <c r="B473" s="1" t="n">
        <v>44323</v>
      </c>
      <c r="C473" s="1" t="n">
        <v>45935</v>
      </c>
      <c r="D473" t="inlineStr">
        <is>
          <t>ÖREBRO LÄN</t>
        </is>
      </c>
      <c r="E473" t="inlineStr">
        <is>
          <t>ÖREBRO</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62497-2023</t>
        </is>
      </c>
      <c r="B474" s="1" t="n">
        <v>45268.59935185185</v>
      </c>
      <c r="C474" s="1" t="n">
        <v>45935</v>
      </c>
      <c r="D474" t="inlineStr">
        <is>
          <t>ÖREBRO LÄN</t>
        </is>
      </c>
      <c r="E474" t="inlineStr">
        <is>
          <t>ÖREBRO</t>
        </is>
      </c>
      <c r="F474" t="inlineStr">
        <is>
          <t>Övriga Aktiebolag</t>
        </is>
      </c>
      <c r="G474" t="n">
        <v>3.2</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45935</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11516-2024</t>
        </is>
      </c>
      <c r="B476" s="1" t="n">
        <v>45372</v>
      </c>
      <c r="C476" s="1" t="n">
        <v>45935</v>
      </c>
      <c r="D476" t="inlineStr">
        <is>
          <t>ÖREBRO LÄN</t>
        </is>
      </c>
      <c r="E476" t="inlineStr">
        <is>
          <t>ÖREBRO</t>
        </is>
      </c>
      <c r="G476" t="n">
        <v>10.7</v>
      </c>
      <c r="H476" t="n">
        <v>0</v>
      </c>
      <c r="I476" t="n">
        <v>0</v>
      </c>
      <c r="J476" t="n">
        <v>0</v>
      </c>
      <c r="K476" t="n">
        <v>0</v>
      </c>
      <c r="L476" t="n">
        <v>0</v>
      </c>
      <c r="M476" t="n">
        <v>0</v>
      </c>
      <c r="N476" t="n">
        <v>0</v>
      </c>
      <c r="O476" t="n">
        <v>0</v>
      </c>
      <c r="P476" t="n">
        <v>0</v>
      </c>
      <c r="Q476" t="n">
        <v>0</v>
      </c>
      <c r="R476" s="2" t="inlineStr"/>
    </row>
    <row r="477" ht="15" customHeight="1">
      <c r="A477" t="inlineStr">
        <is>
          <t>A 46052-2024</t>
        </is>
      </c>
      <c r="B477" s="1" t="n">
        <v>45580.89116898148</v>
      </c>
      <c r="C477" s="1" t="n">
        <v>45935</v>
      </c>
      <c r="D477" t="inlineStr">
        <is>
          <t>ÖREBRO LÄN</t>
        </is>
      </c>
      <c r="E477" t="inlineStr">
        <is>
          <t>ÖREBRO</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54149-2024</t>
        </is>
      </c>
      <c r="B478" s="1" t="n">
        <v>45616</v>
      </c>
      <c r="C478" s="1" t="n">
        <v>45935</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25578-2025</t>
        </is>
      </c>
      <c r="B479" s="1" t="n">
        <v>45803.47803240741</v>
      </c>
      <c r="C479" s="1" t="n">
        <v>45935</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12871-2021</t>
        </is>
      </c>
      <c r="B480" s="1" t="n">
        <v>44271.42121527778</v>
      </c>
      <c r="C480" s="1" t="n">
        <v>45935</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45935</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15682-2023</t>
        </is>
      </c>
      <c r="B482" s="1" t="n">
        <v>45021</v>
      </c>
      <c r="C482" s="1" t="n">
        <v>45935</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12682-2023</t>
        </is>
      </c>
      <c r="B483" s="1" t="n">
        <v>45000.6115625</v>
      </c>
      <c r="C483" s="1" t="n">
        <v>45935</v>
      </c>
      <c r="D483" t="inlineStr">
        <is>
          <t>ÖREBRO LÄN</t>
        </is>
      </c>
      <c r="E483" t="inlineStr">
        <is>
          <t>ÖREBRO</t>
        </is>
      </c>
      <c r="F483" t="inlineStr">
        <is>
          <t>Övriga Aktiebolag</t>
        </is>
      </c>
      <c r="G483" t="n">
        <v>4.4</v>
      </c>
      <c r="H483" t="n">
        <v>0</v>
      </c>
      <c r="I483" t="n">
        <v>0</v>
      </c>
      <c r="J483" t="n">
        <v>0</v>
      </c>
      <c r="K483" t="n">
        <v>0</v>
      </c>
      <c r="L483" t="n">
        <v>0</v>
      </c>
      <c r="M483" t="n">
        <v>0</v>
      </c>
      <c r="N483" t="n">
        <v>0</v>
      </c>
      <c r="O483" t="n">
        <v>0</v>
      </c>
      <c r="P483" t="n">
        <v>0</v>
      </c>
      <c r="Q483" t="n">
        <v>0</v>
      </c>
      <c r="R483" s="2" t="inlineStr"/>
    </row>
    <row r="484" ht="15" customHeight="1">
      <c r="A484" t="inlineStr">
        <is>
          <t>A 57247-2022</t>
        </is>
      </c>
      <c r="B484" s="1" t="n">
        <v>44895.73065972222</v>
      </c>
      <c r="C484" s="1" t="n">
        <v>45935</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25519-2025</t>
        </is>
      </c>
      <c r="B485" s="1" t="n">
        <v>45803.38447916666</v>
      </c>
      <c r="C485" s="1" t="n">
        <v>45935</v>
      </c>
      <c r="D485" t="inlineStr">
        <is>
          <t>ÖREBRO LÄN</t>
        </is>
      </c>
      <c r="E485" t="inlineStr">
        <is>
          <t>ÖREBRO</t>
        </is>
      </c>
      <c r="G485" t="n">
        <v>7.4</v>
      </c>
      <c r="H485" t="n">
        <v>0</v>
      </c>
      <c r="I485" t="n">
        <v>0</v>
      </c>
      <c r="J485" t="n">
        <v>0</v>
      </c>
      <c r="K485" t="n">
        <v>0</v>
      </c>
      <c r="L485" t="n">
        <v>0</v>
      </c>
      <c r="M485" t="n">
        <v>0</v>
      </c>
      <c r="N485" t="n">
        <v>0</v>
      </c>
      <c r="O485" t="n">
        <v>0</v>
      </c>
      <c r="P485" t="n">
        <v>0</v>
      </c>
      <c r="Q485" t="n">
        <v>0</v>
      </c>
      <c r="R485" s="2" t="inlineStr"/>
    </row>
    <row r="486" ht="15" customHeight="1">
      <c r="A486" t="inlineStr">
        <is>
          <t>A 58606-2024</t>
        </is>
      </c>
      <c r="B486" s="1" t="n">
        <v>45635.54747685185</v>
      </c>
      <c r="C486" s="1" t="n">
        <v>45935</v>
      </c>
      <c r="D486" t="inlineStr">
        <is>
          <t>ÖREBRO LÄN</t>
        </is>
      </c>
      <c r="E486" t="inlineStr">
        <is>
          <t>ÖREBRO</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123-2025</t>
        </is>
      </c>
      <c r="B487" s="1" t="n">
        <v>45659.54851851852</v>
      </c>
      <c r="C487" s="1" t="n">
        <v>45935</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37012-2024</t>
        </is>
      </c>
      <c r="B488" s="1" t="n">
        <v>45539</v>
      </c>
      <c r="C488" s="1" t="n">
        <v>45935</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37020-2024</t>
        </is>
      </c>
      <c r="B489" s="1" t="n">
        <v>45539.38059027777</v>
      </c>
      <c r="C489" s="1" t="n">
        <v>45935</v>
      </c>
      <c r="D489" t="inlineStr">
        <is>
          <t>ÖREBRO LÄN</t>
        </is>
      </c>
      <c r="E489" t="inlineStr">
        <is>
          <t>ÖREBRO</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45935</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5338-2024</t>
        </is>
      </c>
      <c r="B491" s="1" t="n">
        <v>45331</v>
      </c>
      <c r="C491" s="1" t="n">
        <v>45935</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45935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13657-2025</t>
        </is>
      </c>
      <c r="B493" s="1" t="n">
        <v>45736.7427662037</v>
      </c>
      <c r="C493" s="1" t="n">
        <v>45935</v>
      </c>
      <c r="D493" t="inlineStr">
        <is>
          <t>ÖREBRO LÄN</t>
        </is>
      </c>
      <c r="E493" t="inlineStr">
        <is>
          <t>ÖREBRO</t>
        </is>
      </c>
      <c r="G493" t="n">
        <v>3.8</v>
      </c>
      <c r="H493" t="n">
        <v>0</v>
      </c>
      <c r="I493" t="n">
        <v>0</v>
      </c>
      <c r="J493" t="n">
        <v>0</v>
      </c>
      <c r="K493" t="n">
        <v>0</v>
      </c>
      <c r="L493" t="n">
        <v>0</v>
      </c>
      <c r="M493" t="n">
        <v>0</v>
      </c>
      <c r="N493" t="n">
        <v>0</v>
      </c>
      <c r="O493" t="n">
        <v>0</v>
      </c>
      <c r="P493" t="n">
        <v>0</v>
      </c>
      <c r="Q493" t="n">
        <v>0</v>
      </c>
      <c r="R493" s="2" t="inlineStr"/>
    </row>
    <row r="494" ht="15" customHeight="1">
      <c r="A494" t="inlineStr">
        <is>
          <t>A 9314-2023</t>
        </is>
      </c>
      <c r="B494" s="1" t="n">
        <v>44980.67747685185</v>
      </c>
      <c r="C494" s="1" t="n">
        <v>45935</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6522-2023</t>
        </is>
      </c>
      <c r="B495" s="1" t="n">
        <v>44966</v>
      </c>
      <c r="C495" s="1" t="n">
        <v>45935</v>
      </c>
      <c r="D495" t="inlineStr">
        <is>
          <t>ÖREBRO LÄN</t>
        </is>
      </c>
      <c r="E495" t="inlineStr">
        <is>
          <t>ÖREBRO</t>
        </is>
      </c>
      <c r="G495" t="n">
        <v>4.4</v>
      </c>
      <c r="H495" t="n">
        <v>0</v>
      </c>
      <c r="I495" t="n">
        <v>0</v>
      </c>
      <c r="J495" t="n">
        <v>0</v>
      </c>
      <c r="K495" t="n">
        <v>0</v>
      </c>
      <c r="L495" t="n">
        <v>0</v>
      </c>
      <c r="M495" t="n">
        <v>0</v>
      </c>
      <c r="N495" t="n">
        <v>0</v>
      </c>
      <c r="O495" t="n">
        <v>0</v>
      </c>
      <c r="P495" t="n">
        <v>0</v>
      </c>
      <c r="Q495" t="n">
        <v>0</v>
      </c>
      <c r="R495" s="2" t="inlineStr"/>
    </row>
    <row r="496" ht="15" customHeight="1">
      <c r="A496" t="inlineStr">
        <is>
          <t>A 27180-2025</t>
        </is>
      </c>
      <c r="B496" s="1" t="n">
        <v>45812.35736111111</v>
      </c>
      <c r="C496" s="1" t="n">
        <v>45935</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27215-2025</t>
        </is>
      </c>
      <c r="B497" s="1" t="n">
        <v>45812.41869212963</v>
      </c>
      <c r="C497" s="1" t="n">
        <v>45935</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27225-2025</t>
        </is>
      </c>
      <c r="B498" s="1" t="n">
        <v>45812.42856481481</v>
      </c>
      <c r="C498" s="1" t="n">
        <v>45935</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18449-2023</t>
        </is>
      </c>
      <c r="B499" s="1" t="n">
        <v>45042.5203125</v>
      </c>
      <c r="C499" s="1" t="n">
        <v>45935</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16736-2023</t>
        </is>
      </c>
      <c r="B500" s="1" t="n">
        <v>45030.72328703704</v>
      </c>
      <c r="C500" s="1" t="n">
        <v>45935</v>
      </c>
      <c r="D500" t="inlineStr">
        <is>
          <t>ÖREBRO LÄN</t>
        </is>
      </c>
      <c r="E500" t="inlineStr">
        <is>
          <t>ÖREBRO</t>
        </is>
      </c>
      <c r="G500" t="n">
        <v>4</v>
      </c>
      <c r="H500" t="n">
        <v>0</v>
      </c>
      <c r="I500" t="n">
        <v>0</v>
      </c>
      <c r="J500" t="n">
        <v>0</v>
      </c>
      <c r="K500" t="n">
        <v>0</v>
      </c>
      <c r="L500" t="n">
        <v>0</v>
      </c>
      <c r="M500" t="n">
        <v>0</v>
      </c>
      <c r="N500" t="n">
        <v>0</v>
      </c>
      <c r="O500" t="n">
        <v>0</v>
      </c>
      <c r="P500" t="n">
        <v>0</v>
      </c>
      <c r="Q500" t="n">
        <v>0</v>
      </c>
      <c r="R500" s="2" t="inlineStr"/>
    </row>
    <row r="501" ht="15" customHeight="1">
      <c r="A501" t="inlineStr">
        <is>
          <t>A 27220-2025</t>
        </is>
      </c>
      <c r="B501" s="1" t="n">
        <v>45812.42293981482</v>
      </c>
      <c r="C501" s="1" t="n">
        <v>45935</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50375-2024</t>
        </is>
      </c>
      <c r="B502" s="1" t="n">
        <v>45601.29311342593</v>
      </c>
      <c r="C502" s="1" t="n">
        <v>45935</v>
      </c>
      <c r="D502" t="inlineStr">
        <is>
          <t>ÖREBRO LÄN</t>
        </is>
      </c>
      <c r="E502" t="inlineStr">
        <is>
          <t>ÖREBRO</t>
        </is>
      </c>
      <c r="G502" t="n">
        <v>5</v>
      </c>
      <c r="H502" t="n">
        <v>0</v>
      </c>
      <c r="I502" t="n">
        <v>0</v>
      </c>
      <c r="J502" t="n">
        <v>0</v>
      </c>
      <c r="K502" t="n">
        <v>0</v>
      </c>
      <c r="L502" t="n">
        <v>0</v>
      </c>
      <c r="M502" t="n">
        <v>0</v>
      </c>
      <c r="N502" t="n">
        <v>0</v>
      </c>
      <c r="O502" t="n">
        <v>0</v>
      </c>
      <c r="P502" t="n">
        <v>0</v>
      </c>
      <c r="Q502" t="n">
        <v>0</v>
      </c>
      <c r="R502" s="2" t="inlineStr"/>
    </row>
    <row r="503" ht="15" customHeight="1">
      <c r="A503" t="inlineStr">
        <is>
          <t>A 22045-2024</t>
        </is>
      </c>
      <c r="B503" s="1" t="n">
        <v>45443.61171296296</v>
      </c>
      <c r="C503" s="1" t="n">
        <v>45935</v>
      </c>
      <c r="D503" t="inlineStr">
        <is>
          <t>ÖREBRO LÄN</t>
        </is>
      </c>
      <c r="E503" t="inlineStr">
        <is>
          <t>ÖREBRO</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28120-2025</t>
        </is>
      </c>
      <c r="B504" s="1" t="n">
        <v>45818.30459490741</v>
      </c>
      <c r="C504" s="1" t="n">
        <v>45935</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3-2024</t>
        </is>
      </c>
      <c r="B505" s="1" t="n">
        <v>45292</v>
      </c>
      <c r="C505" s="1" t="n">
        <v>45935</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21306-2024</t>
        </is>
      </c>
      <c r="B506" s="1" t="n">
        <v>45440.67883101852</v>
      </c>
      <c r="C506" s="1" t="n">
        <v>45935</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1257-2022</t>
        </is>
      </c>
      <c r="B507" s="1" t="n">
        <v>44572</v>
      </c>
      <c r="C507" s="1" t="n">
        <v>45935</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64730-2023</t>
        </is>
      </c>
      <c r="B508" s="1" t="n">
        <v>45281</v>
      </c>
      <c r="C508" s="1" t="n">
        <v>45935</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6869-2025</t>
        </is>
      </c>
      <c r="B509" s="1" t="n">
        <v>45700</v>
      </c>
      <c r="C509" s="1" t="n">
        <v>45935</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28938-2025</t>
        </is>
      </c>
      <c r="B510" s="1" t="n">
        <v>45820.70626157407</v>
      </c>
      <c r="C510" s="1" t="n">
        <v>45935</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4416-2023</t>
        </is>
      </c>
      <c r="B511" s="1" t="n">
        <v>44956</v>
      </c>
      <c r="C511" s="1" t="n">
        <v>45935</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28920-2025</t>
        </is>
      </c>
      <c r="B512" s="1" t="n">
        <v>45820.66532407407</v>
      </c>
      <c r="C512" s="1" t="n">
        <v>45935</v>
      </c>
      <c r="D512" t="inlineStr">
        <is>
          <t>ÖREBRO LÄN</t>
        </is>
      </c>
      <c r="E512" t="inlineStr">
        <is>
          <t>ÖREBRO</t>
        </is>
      </c>
      <c r="G512" t="n">
        <v>3</v>
      </c>
      <c r="H512" t="n">
        <v>0</v>
      </c>
      <c r="I512" t="n">
        <v>0</v>
      </c>
      <c r="J512" t="n">
        <v>0</v>
      </c>
      <c r="K512" t="n">
        <v>0</v>
      </c>
      <c r="L512" t="n">
        <v>0</v>
      </c>
      <c r="M512" t="n">
        <v>0</v>
      </c>
      <c r="N512" t="n">
        <v>0</v>
      </c>
      <c r="O512" t="n">
        <v>0</v>
      </c>
      <c r="P512" t="n">
        <v>0</v>
      </c>
      <c r="Q512" t="n">
        <v>0</v>
      </c>
      <c r="R512" s="2" t="inlineStr"/>
    </row>
    <row r="513" ht="15" customHeight="1">
      <c r="A513" t="inlineStr">
        <is>
          <t>A 29339-2025</t>
        </is>
      </c>
      <c r="B513" s="1" t="n">
        <v>45824.5044212963</v>
      </c>
      <c r="C513" s="1" t="n">
        <v>45935</v>
      </c>
      <c r="D513" t="inlineStr">
        <is>
          <t>ÖREBRO LÄN</t>
        </is>
      </c>
      <c r="E513" t="inlineStr">
        <is>
          <t>ÖREBRO</t>
        </is>
      </c>
      <c r="G513" t="n">
        <v>4.3</v>
      </c>
      <c r="H513" t="n">
        <v>0</v>
      </c>
      <c r="I513" t="n">
        <v>0</v>
      </c>
      <c r="J513" t="n">
        <v>0</v>
      </c>
      <c r="K513" t="n">
        <v>0</v>
      </c>
      <c r="L513" t="n">
        <v>0</v>
      </c>
      <c r="M513" t="n">
        <v>0</v>
      </c>
      <c r="N513" t="n">
        <v>0</v>
      </c>
      <c r="O513" t="n">
        <v>0</v>
      </c>
      <c r="P513" t="n">
        <v>0</v>
      </c>
      <c r="Q513" t="n">
        <v>0</v>
      </c>
      <c r="R513" s="2" t="inlineStr"/>
    </row>
    <row r="514" ht="15" customHeight="1">
      <c r="A514" t="inlineStr">
        <is>
          <t>A 60059-2023</t>
        </is>
      </c>
      <c r="B514" s="1" t="n">
        <v>45258.38157407408</v>
      </c>
      <c r="C514" s="1" t="n">
        <v>45935</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26858-2024</t>
        </is>
      </c>
      <c r="B515" s="1" t="n">
        <v>45470</v>
      </c>
      <c r="C515" s="1" t="n">
        <v>45935</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45935</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17983-2025</t>
        </is>
      </c>
      <c r="B517" s="1" t="n">
        <v>45761.38829861111</v>
      </c>
      <c r="C517" s="1" t="n">
        <v>45935</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29701-2025</t>
        </is>
      </c>
      <c r="B518" s="1" t="n">
        <v>45825.55261574074</v>
      </c>
      <c r="C518" s="1" t="n">
        <v>45935</v>
      </c>
      <c r="D518" t="inlineStr">
        <is>
          <t>ÖREBRO LÄN</t>
        </is>
      </c>
      <c r="E518" t="inlineStr">
        <is>
          <t>ÖREBRO</t>
        </is>
      </c>
      <c r="G518" t="n">
        <v>5.8</v>
      </c>
      <c r="H518" t="n">
        <v>0</v>
      </c>
      <c r="I518" t="n">
        <v>0</v>
      </c>
      <c r="J518" t="n">
        <v>0</v>
      </c>
      <c r="K518" t="n">
        <v>0</v>
      </c>
      <c r="L518" t="n">
        <v>0</v>
      </c>
      <c r="M518" t="n">
        <v>0</v>
      </c>
      <c r="N518" t="n">
        <v>0</v>
      </c>
      <c r="O518" t="n">
        <v>0</v>
      </c>
      <c r="P518" t="n">
        <v>0</v>
      </c>
      <c r="Q518" t="n">
        <v>0</v>
      </c>
      <c r="R518" s="2" t="inlineStr"/>
    </row>
    <row r="519" ht="15" customHeight="1">
      <c r="A519" t="inlineStr">
        <is>
          <t>A 29286-2025</t>
        </is>
      </c>
      <c r="B519" s="1" t="n">
        <v>45824.43502314815</v>
      </c>
      <c r="C519" s="1" t="n">
        <v>45935</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45935</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45935</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45935</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45935</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8571-2021</t>
        </is>
      </c>
      <c r="B524" s="1" t="n">
        <v>44245</v>
      </c>
      <c r="C524" s="1" t="n">
        <v>45935</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7611-2024</t>
        </is>
      </c>
      <c r="B525" s="1" t="n">
        <v>45348.58864583333</v>
      </c>
      <c r="C525" s="1" t="n">
        <v>45935</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30550-2025</t>
        </is>
      </c>
      <c r="B526" s="1" t="n">
        <v>45831.38224537037</v>
      </c>
      <c r="C526" s="1" t="n">
        <v>45935</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30731-2025</t>
        </is>
      </c>
      <c r="B527" s="1" t="n">
        <v>45831.57280092593</v>
      </c>
      <c r="C527" s="1" t="n">
        <v>45935</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15789-2023</t>
        </is>
      </c>
      <c r="B528" s="1" t="n">
        <v>45021.71539351852</v>
      </c>
      <c r="C528" s="1" t="n">
        <v>45935</v>
      </c>
      <c r="D528" t="inlineStr">
        <is>
          <t>ÖREBRO LÄN</t>
        </is>
      </c>
      <c r="E528" t="inlineStr">
        <is>
          <t>ÖREBRO</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52612-2024</t>
        </is>
      </c>
      <c r="B529" s="1" t="n">
        <v>45609</v>
      </c>
      <c r="C529" s="1" t="n">
        <v>45935</v>
      </c>
      <c r="D529" t="inlineStr">
        <is>
          <t>ÖREBRO LÄN</t>
        </is>
      </c>
      <c r="E529" t="inlineStr">
        <is>
          <t>ÖREBRO</t>
        </is>
      </c>
      <c r="F529" t="inlineStr">
        <is>
          <t>Kommuner</t>
        </is>
      </c>
      <c r="G529" t="n">
        <v>5.5</v>
      </c>
      <c r="H529" t="n">
        <v>0</v>
      </c>
      <c r="I529" t="n">
        <v>0</v>
      </c>
      <c r="J529" t="n">
        <v>0</v>
      </c>
      <c r="K529" t="n">
        <v>0</v>
      </c>
      <c r="L529" t="n">
        <v>0</v>
      </c>
      <c r="M529" t="n">
        <v>0</v>
      </c>
      <c r="N529" t="n">
        <v>0</v>
      </c>
      <c r="O529" t="n">
        <v>0</v>
      </c>
      <c r="P529" t="n">
        <v>0</v>
      </c>
      <c r="Q529" t="n">
        <v>0</v>
      </c>
      <c r="R529" s="2" t="inlineStr"/>
    </row>
    <row r="530" ht="15" customHeight="1">
      <c r="A530" t="inlineStr">
        <is>
          <t>A 37786-2024</t>
        </is>
      </c>
      <c r="B530" s="1" t="n">
        <v>45542.82987268519</v>
      </c>
      <c r="C530" s="1" t="n">
        <v>45935</v>
      </c>
      <c r="D530" t="inlineStr">
        <is>
          <t>ÖREBRO LÄN</t>
        </is>
      </c>
      <c r="E530" t="inlineStr">
        <is>
          <t>ÖREBRO</t>
        </is>
      </c>
      <c r="G530" t="n">
        <v>3.1</v>
      </c>
      <c r="H530" t="n">
        <v>0</v>
      </c>
      <c r="I530" t="n">
        <v>0</v>
      </c>
      <c r="J530" t="n">
        <v>0</v>
      </c>
      <c r="K530" t="n">
        <v>0</v>
      </c>
      <c r="L530" t="n">
        <v>0</v>
      </c>
      <c r="M530" t="n">
        <v>0</v>
      </c>
      <c r="N530" t="n">
        <v>0</v>
      </c>
      <c r="O530" t="n">
        <v>0</v>
      </c>
      <c r="P530" t="n">
        <v>0</v>
      </c>
      <c r="Q530" t="n">
        <v>0</v>
      </c>
      <c r="R530" s="2" t="inlineStr"/>
    </row>
    <row r="531" ht="15" customHeight="1">
      <c r="A531" t="inlineStr">
        <is>
          <t>A 31232-2025</t>
        </is>
      </c>
      <c r="B531" s="1" t="n">
        <v>45832.8252199074</v>
      </c>
      <c r="C531" s="1" t="n">
        <v>45935</v>
      </c>
      <c r="D531" t="inlineStr">
        <is>
          <t>ÖREBRO LÄN</t>
        </is>
      </c>
      <c r="E531" t="inlineStr">
        <is>
          <t>ÖREBRO</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45935</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31233-2025</t>
        </is>
      </c>
      <c r="B533" s="1" t="n">
        <v>45832.83341435185</v>
      </c>
      <c r="C533" s="1" t="n">
        <v>45935</v>
      </c>
      <c r="D533" t="inlineStr">
        <is>
          <t>ÖREBRO LÄN</t>
        </is>
      </c>
      <c r="E533" t="inlineStr">
        <is>
          <t>ÖREBRO</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55875-2024</t>
        </is>
      </c>
      <c r="B534" s="1" t="n">
        <v>45623.55375</v>
      </c>
      <c r="C534" s="1" t="n">
        <v>45935</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31237-2025</t>
        </is>
      </c>
      <c r="B535" s="1" t="n">
        <v>45832.84313657408</v>
      </c>
      <c r="C535" s="1" t="n">
        <v>45935</v>
      </c>
      <c r="D535" t="inlineStr">
        <is>
          <t>ÖREBRO LÄN</t>
        </is>
      </c>
      <c r="E535" t="inlineStr">
        <is>
          <t>ÖREBRO</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31066-2025</t>
        </is>
      </c>
      <c r="B536" s="1" t="n">
        <v>45832</v>
      </c>
      <c r="C536" s="1" t="n">
        <v>45935</v>
      </c>
      <c r="D536" t="inlineStr">
        <is>
          <t>ÖREBRO LÄN</t>
        </is>
      </c>
      <c r="E536" t="inlineStr">
        <is>
          <t>ÖREBRO</t>
        </is>
      </c>
      <c r="G536" t="n">
        <v>11.1</v>
      </c>
      <c r="H536" t="n">
        <v>0</v>
      </c>
      <c r="I536" t="n">
        <v>0</v>
      </c>
      <c r="J536" t="n">
        <v>0</v>
      </c>
      <c r="K536" t="n">
        <v>0</v>
      </c>
      <c r="L536" t="n">
        <v>0</v>
      </c>
      <c r="M536" t="n">
        <v>0</v>
      </c>
      <c r="N536" t="n">
        <v>0</v>
      </c>
      <c r="O536" t="n">
        <v>0</v>
      </c>
      <c r="P536" t="n">
        <v>0</v>
      </c>
      <c r="Q536" t="n">
        <v>0</v>
      </c>
      <c r="R536" s="2" t="inlineStr"/>
    </row>
    <row r="537" ht="15" customHeight="1">
      <c r="A537" t="inlineStr">
        <is>
          <t>A 3841-2023</t>
        </is>
      </c>
      <c r="B537" s="1" t="n">
        <v>44951</v>
      </c>
      <c r="C537" s="1" t="n">
        <v>45935</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32188-2025</t>
        </is>
      </c>
      <c r="B538" s="1" t="n">
        <v>45835.56965277778</v>
      </c>
      <c r="C538" s="1" t="n">
        <v>45935</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32195-2025</t>
        </is>
      </c>
      <c r="B539" s="1" t="n">
        <v>45835.57407407407</v>
      </c>
      <c r="C539" s="1" t="n">
        <v>45935</v>
      </c>
      <c r="D539" t="inlineStr">
        <is>
          <t>ÖREBRO LÄN</t>
        </is>
      </c>
      <c r="E539" t="inlineStr">
        <is>
          <t>ÖREBRO</t>
        </is>
      </c>
      <c r="G539" t="n">
        <v>1.5</v>
      </c>
      <c r="H539" t="n">
        <v>0</v>
      </c>
      <c r="I539" t="n">
        <v>0</v>
      </c>
      <c r="J539" t="n">
        <v>0</v>
      </c>
      <c r="K539" t="n">
        <v>0</v>
      </c>
      <c r="L539" t="n">
        <v>0</v>
      </c>
      <c r="M539" t="n">
        <v>0</v>
      </c>
      <c r="N539" t="n">
        <v>0</v>
      </c>
      <c r="O539" t="n">
        <v>0</v>
      </c>
      <c r="P539" t="n">
        <v>0</v>
      </c>
      <c r="Q539" t="n">
        <v>0</v>
      </c>
      <c r="R539" s="2" t="inlineStr"/>
    </row>
    <row r="540" ht="15" customHeight="1">
      <c r="A540" t="inlineStr">
        <is>
          <t>A 49215-2023</t>
        </is>
      </c>
      <c r="B540" s="1" t="n">
        <v>45210.61050925926</v>
      </c>
      <c r="C540" s="1" t="n">
        <v>45935</v>
      </c>
      <c r="D540" t="inlineStr">
        <is>
          <t>ÖREBRO LÄN</t>
        </is>
      </c>
      <c r="E540" t="inlineStr">
        <is>
          <t>ÖREBRO</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32218-2025</t>
        </is>
      </c>
      <c r="B541" s="1" t="n">
        <v>45835.58880787037</v>
      </c>
      <c r="C541" s="1" t="n">
        <v>45935</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32904-2025</t>
        </is>
      </c>
      <c r="B542" s="1" t="n">
        <v>45839</v>
      </c>
      <c r="C542" s="1" t="n">
        <v>45935</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45935</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43399-2022</t>
        </is>
      </c>
      <c r="B544" s="1" t="n">
        <v>44834</v>
      </c>
      <c r="C544" s="1" t="n">
        <v>45935</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33191-2025</t>
        </is>
      </c>
      <c r="B545" s="1" t="n">
        <v>45840.6003587963</v>
      </c>
      <c r="C545" s="1" t="n">
        <v>45935</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19553-2023</t>
        </is>
      </c>
      <c r="B546" s="1" t="n">
        <v>45050</v>
      </c>
      <c r="C546" s="1" t="n">
        <v>45935</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33019-2025</t>
        </is>
      </c>
      <c r="B547" s="1" t="n">
        <v>45840</v>
      </c>
      <c r="C547" s="1" t="n">
        <v>45935</v>
      </c>
      <c r="D547" t="inlineStr">
        <is>
          <t>ÖREBRO LÄN</t>
        </is>
      </c>
      <c r="E547" t="inlineStr">
        <is>
          <t>ÖREBRO</t>
        </is>
      </c>
      <c r="G547" t="n">
        <v>4.2</v>
      </c>
      <c r="H547" t="n">
        <v>0</v>
      </c>
      <c r="I547" t="n">
        <v>0</v>
      </c>
      <c r="J547" t="n">
        <v>0</v>
      </c>
      <c r="K547" t="n">
        <v>0</v>
      </c>
      <c r="L547" t="n">
        <v>0</v>
      </c>
      <c r="M547" t="n">
        <v>0</v>
      </c>
      <c r="N547" t="n">
        <v>0</v>
      </c>
      <c r="O547" t="n">
        <v>0</v>
      </c>
      <c r="P547" t="n">
        <v>0</v>
      </c>
      <c r="Q547" t="n">
        <v>0</v>
      </c>
      <c r="R547" s="2" t="inlineStr"/>
    </row>
    <row r="548" ht="15" customHeight="1">
      <c r="A548" t="inlineStr">
        <is>
          <t>A 14291-2023</t>
        </is>
      </c>
      <c r="B548" s="1" t="n">
        <v>45010</v>
      </c>
      <c r="C548" s="1" t="n">
        <v>45935</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58527-2024</t>
        </is>
      </c>
      <c r="B549" s="1" t="n">
        <v>45635.44388888889</v>
      </c>
      <c r="C549" s="1" t="n">
        <v>45935</v>
      </c>
      <c r="D549" t="inlineStr">
        <is>
          <t>ÖREBRO LÄN</t>
        </is>
      </c>
      <c r="E549" t="inlineStr">
        <is>
          <t>ÖREBRO</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55593-2022</t>
        </is>
      </c>
      <c r="B550" s="1" t="n">
        <v>44888</v>
      </c>
      <c r="C550" s="1" t="n">
        <v>45935</v>
      </c>
      <c r="D550" t="inlineStr">
        <is>
          <t>ÖREBRO LÄN</t>
        </is>
      </c>
      <c r="E550" t="inlineStr">
        <is>
          <t>ÖREBRO</t>
        </is>
      </c>
      <c r="G550" t="n">
        <v>3.6</v>
      </c>
      <c r="H550" t="n">
        <v>0</v>
      </c>
      <c r="I550" t="n">
        <v>0</v>
      </c>
      <c r="J550" t="n">
        <v>0</v>
      </c>
      <c r="K550" t="n">
        <v>0</v>
      </c>
      <c r="L550" t="n">
        <v>0</v>
      </c>
      <c r="M550" t="n">
        <v>0</v>
      </c>
      <c r="N550" t="n">
        <v>0</v>
      </c>
      <c r="O550" t="n">
        <v>0</v>
      </c>
      <c r="P550" t="n">
        <v>0</v>
      </c>
      <c r="Q550" t="n">
        <v>0</v>
      </c>
      <c r="R550" s="2" t="inlineStr"/>
    </row>
    <row r="551" ht="15" customHeight="1">
      <c r="A551" t="inlineStr">
        <is>
          <t>A 63142-2023</t>
        </is>
      </c>
      <c r="B551" s="1" t="n">
        <v>45273</v>
      </c>
      <c r="C551" s="1" t="n">
        <v>45935</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23741-2022</t>
        </is>
      </c>
      <c r="B552" s="1" t="n">
        <v>44722</v>
      </c>
      <c r="C552" s="1" t="n">
        <v>45935</v>
      </c>
      <c r="D552" t="inlineStr">
        <is>
          <t>ÖREBRO LÄN</t>
        </is>
      </c>
      <c r="E552" t="inlineStr">
        <is>
          <t>ÖREBRO</t>
        </is>
      </c>
      <c r="G552" t="n">
        <v>1.3</v>
      </c>
      <c r="H552" t="n">
        <v>0</v>
      </c>
      <c r="I552" t="n">
        <v>0</v>
      </c>
      <c r="J552" t="n">
        <v>0</v>
      </c>
      <c r="K552" t="n">
        <v>0</v>
      </c>
      <c r="L552" t="n">
        <v>0</v>
      </c>
      <c r="M552" t="n">
        <v>0</v>
      </c>
      <c r="N552" t="n">
        <v>0</v>
      </c>
      <c r="O552" t="n">
        <v>0</v>
      </c>
      <c r="P552" t="n">
        <v>0</v>
      </c>
      <c r="Q552" t="n">
        <v>0</v>
      </c>
      <c r="R552" s="2" t="inlineStr"/>
    </row>
    <row r="553" ht="15" customHeight="1">
      <c r="A553" t="inlineStr">
        <is>
          <t>A 59121-2024</t>
        </is>
      </c>
      <c r="B553" s="1" t="n">
        <v>45637.37755787037</v>
      </c>
      <c r="C553" s="1" t="n">
        <v>45935</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9704-2023</t>
        </is>
      </c>
      <c r="B554" s="1" t="n">
        <v>44984</v>
      </c>
      <c r="C554" s="1" t="n">
        <v>45935</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48687-2024</t>
        </is>
      </c>
      <c r="B555" s="1" t="n">
        <v>45593.49899305555</v>
      </c>
      <c r="C555" s="1" t="n">
        <v>45935</v>
      </c>
      <c r="D555" t="inlineStr">
        <is>
          <t>ÖREBRO LÄN</t>
        </is>
      </c>
      <c r="E555" t="inlineStr">
        <is>
          <t>ÖREBRO</t>
        </is>
      </c>
      <c r="F555" t="inlineStr">
        <is>
          <t>Övriga Aktiebolag</t>
        </is>
      </c>
      <c r="G555" t="n">
        <v>3.8</v>
      </c>
      <c r="H555" t="n">
        <v>0</v>
      </c>
      <c r="I555" t="n">
        <v>0</v>
      </c>
      <c r="J555" t="n">
        <v>0</v>
      </c>
      <c r="K555" t="n">
        <v>0</v>
      </c>
      <c r="L555" t="n">
        <v>0</v>
      </c>
      <c r="M555" t="n">
        <v>0</v>
      </c>
      <c r="N555" t="n">
        <v>0</v>
      </c>
      <c r="O555" t="n">
        <v>0</v>
      </c>
      <c r="P555" t="n">
        <v>0</v>
      </c>
      <c r="Q555" t="n">
        <v>0</v>
      </c>
      <c r="R555" s="2" t="inlineStr"/>
    </row>
    <row r="556" ht="15" customHeight="1">
      <c r="A556" t="inlineStr">
        <is>
          <t>A 12099-2023</t>
        </is>
      </c>
      <c r="B556" s="1" t="n">
        <v>44998.37043981482</v>
      </c>
      <c r="C556" s="1" t="n">
        <v>45935</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17869-2024</t>
        </is>
      </c>
      <c r="B557" s="1" t="n">
        <v>45419</v>
      </c>
      <c r="C557" s="1" t="n">
        <v>45935</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5026-2022</t>
        </is>
      </c>
      <c r="B558" s="1" t="n">
        <v>44593.63974537037</v>
      </c>
      <c r="C558" s="1" t="n">
        <v>45935</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10832-2023</t>
        </is>
      </c>
      <c r="B559" s="1" t="n">
        <v>44990.91711805556</v>
      </c>
      <c r="C559" s="1" t="n">
        <v>45935</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40332-2025</t>
        </is>
      </c>
      <c r="B560" s="1" t="n">
        <v>45895.46060185185</v>
      </c>
      <c r="C560" s="1" t="n">
        <v>45935</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35062-2025</t>
        </is>
      </c>
      <c r="B561" s="1" t="n">
        <v>45852</v>
      </c>
      <c r="C561" s="1" t="n">
        <v>45935</v>
      </c>
      <c r="D561" t="inlineStr">
        <is>
          <t>ÖREBRO LÄN</t>
        </is>
      </c>
      <c r="E561" t="inlineStr">
        <is>
          <t>ÖREBRO</t>
        </is>
      </c>
      <c r="G561" t="n">
        <v>2.8</v>
      </c>
      <c r="H561" t="n">
        <v>0</v>
      </c>
      <c r="I561" t="n">
        <v>0</v>
      </c>
      <c r="J561" t="n">
        <v>0</v>
      </c>
      <c r="K561" t="n">
        <v>0</v>
      </c>
      <c r="L561" t="n">
        <v>0</v>
      </c>
      <c r="M561" t="n">
        <v>0</v>
      </c>
      <c r="N561" t="n">
        <v>0</v>
      </c>
      <c r="O561" t="n">
        <v>0</v>
      </c>
      <c r="P561" t="n">
        <v>0</v>
      </c>
      <c r="Q561" t="n">
        <v>0</v>
      </c>
      <c r="R561" s="2" t="inlineStr"/>
    </row>
    <row r="562" ht="15" customHeight="1">
      <c r="A562" t="inlineStr">
        <is>
          <t>A 48581-2024</t>
        </is>
      </c>
      <c r="B562" s="1" t="n">
        <v>45593.41642361111</v>
      </c>
      <c r="C562" s="1" t="n">
        <v>45935</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40330-2025</t>
        </is>
      </c>
      <c r="B563" s="1" t="n">
        <v>45895.4531712963</v>
      </c>
      <c r="C563" s="1" t="n">
        <v>45935</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40231-2022</t>
        </is>
      </c>
      <c r="B564" s="1" t="n">
        <v>44820</v>
      </c>
      <c r="C564" s="1" t="n">
        <v>45935</v>
      </c>
      <c r="D564" t="inlineStr">
        <is>
          <t>ÖREBRO LÄN</t>
        </is>
      </c>
      <c r="E564" t="inlineStr">
        <is>
          <t>ÖREBRO</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14963-2025</t>
        </is>
      </c>
      <c r="B565" s="1" t="n">
        <v>45743.58699074074</v>
      </c>
      <c r="C565" s="1" t="n">
        <v>45935</v>
      </c>
      <c r="D565" t="inlineStr">
        <is>
          <t>ÖREBRO LÄN</t>
        </is>
      </c>
      <c r="E565" t="inlineStr">
        <is>
          <t>ÖREBRO</t>
        </is>
      </c>
      <c r="G565" t="n">
        <v>9.1</v>
      </c>
      <c r="H565" t="n">
        <v>0</v>
      </c>
      <c r="I565" t="n">
        <v>0</v>
      </c>
      <c r="J565" t="n">
        <v>0</v>
      </c>
      <c r="K565" t="n">
        <v>0</v>
      </c>
      <c r="L565" t="n">
        <v>0</v>
      </c>
      <c r="M565" t="n">
        <v>0</v>
      </c>
      <c r="N565" t="n">
        <v>0</v>
      </c>
      <c r="O565" t="n">
        <v>0</v>
      </c>
      <c r="P565" t="n">
        <v>0</v>
      </c>
      <c r="Q565" t="n">
        <v>0</v>
      </c>
      <c r="R565" s="2" t="inlineStr"/>
    </row>
    <row r="566" ht="15" customHeight="1">
      <c r="A566" t="inlineStr">
        <is>
          <t>A 33455-2023</t>
        </is>
      </c>
      <c r="B566" s="1" t="n">
        <v>45130.98962962963</v>
      </c>
      <c r="C566" s="1" t="n">
        <v>45935</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41412-2025</t>
        </is>
      </c>
      <c r="B567" s="1" t="n">
        <v>45901.3549537037</v>
      </c>
      <c r="C567" s="1" t="n">
        <v>45935</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45935</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58277-2022</t>
        </is>
      </c>
      <c r="B569" s="1" t="n">
        <v>44901.48108796297</v>
      </c>
      <c r="C569" s="1" t="n">
        <v>45935</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42518-2021</t>
        </is>
      </c>
      <c r="B570" s="1" t="n">
        <v>44427.81496527778</v>
      </c>
      <c r="C570" s="1" t="n">
        <v>45935</v>
      </c>
      <c r="D570" t="inlineStr">
        <is>
          <t>ÖREBRO LÄN</t>
        </is>
      </c>
      <c r="E570" t="inlineStr">
        <is>
          <t>ÖREBRO</t>
        </is>
      </c>
      <c r="G570" t="n">
        <v>4.5</v>
      </c>
      <c r="H570" t="n">
        <v>0</v>
      </c>
      <c r="I570" t="n">
        <v>0</v>
      </c>
      <c r="J570" t="n">
        <v>0</v>
      </c>
      <c r="K570" t="n">
        <v>0</v>
      </c>
      <c r="L570" t="n">
        <v>0</v>
      </c>
      <c r="M570" t="n">
        <v>0</v>
      </c>
      <c r="N570" t="n">
        <v>0</v>
      </c>
      <c r="O570" t="n">
        <v>0</v>
      </c>
      <c r="P570" t="n">
        <v>0</v>
      </c>
      <c r="Q570" t="n">
        <v>0</v>
      </c>
      <c r="R570" s="2" t="inlineStr"/>
    </row>
    <row r="571" ht="15" customHeight="1">
      <c r="A571" t="inlineStr">
        <is>
          <t>A 28821-2025</t>
        </is>
      </c>
      <c r="B571" s="1" t="n">
        <v>45820</v>
      </c>
      <c r="C571" s="1" t="n">
        <v>45935</v>
      </c>
      <c r="D571" t="inlineStr">
        <is>
          <t>ÖREBRO LÄN</t>
        </is>
      </c>
      <c r="E571" t="inlineStr">
        <is>
          <t>ÖREBRO</t>
        </is>
      </c>
      <c r="G571" t="n">
        <v>12.6</v>
      </c>
      <c r="H571" t="n">
        <v>0</v>
      </c>
      <c r="I571" t="n">
        <v>0</v>
      </c>
      <c r="J571" t="n">
        <v>0</v>
      </c>
      <c r="K571" t="n">
        <v>0</v>
      </c>
      <c r="L571" t="n">
        <v>0</v>
      </c>
      <c r="M571" t="n">
        <v>0</v>
      </c>
      <c r="N571" t="n">
        <v>0</v>
      </c>
      <c r="O571" t="n">
        <v>0</v>
      </c>
      <c r="P571" t="n">
        <v>0</v>
      </c>
      <c r="Q571" t="n">
        <v>0</v>
      </c>
      <c r="R571" s="2" t="inlineStr"/>
    </row>
    <row r="572" ht="15" customHeight="1">
      <c r="A572" t="inlineStr">
        <is>
          <t>A 14524-2025</t>
        </is>
      </c>
      <c r="B572" s="1" t="n">
        <v>45741.64815972222</v>
      </c>
      <c r="C572" s="1" t="n">
        <v>45935</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15354-2024</t>
        </is>
      </c>
      <c r="B573" s="1" t="n">
        <v>45400.85319444445</v>
      </c>
      <c r="C573" s="1" t="n">
        <v>45935</v>
      </c>
      <c r="D573" t="inlineStr">
        <is>
          <t>ÖREBRO LÄN</t>
        </is>
      </c>
      <c r="E573" t="inlineStr">
        <is>
          <t>ÖREBRO</t>
        </is>
      </c>
      <c r="G573" t="n">
        <v>0.7</v>
      </c>
      <c r="H573" t="n">
        <v>0</v>
      </c>
      <c r="I573" t="n">
        <v>0</v>
      </c>
      <c r="J573" t="n">
        <v>0</v>
      </c>
      <c r="K573" t="n">
        <v>0</v>
      </c>
      <c r="L573" t="n">
        <v>0</v>
      </c>
      <c r="M573" t="n">
        <v>0</v>
      </c>
      <c r="N573" t="n">
        <v>0</v>
      </c>
      <c r="O573" t="n">
        <v>0</v>
      </c>
      <c r="P573" t="n">
        <v>0</v>
      </c>
      <c r="Q573" t="n">
        <v>0</v>
      </c>
      <c r="R573" s="2" t="inlineStr"/>
    </row>
    <row r="574" ht="15" customHeight="1">
      <c r="A574" t="inlineStr">
        <is>
          <t>A 41543-2024</t>
        </is>
      </c>
      <c r="B574" s="1" t="n">
        <v>45560</v>
      </c>
      <c r="C574" s="1" t="n">
        <v>45935</v>
      </c>
      <c r="D574" t="inlineStr">
        <is>
          <t>ÖREBRO LÄN</t>
        </is>
      </c>
      <c r="E574" t="inlineStr">
        <is>
          <t>ÖREBRO</t>
        </is>
      </c>
      <c r="G574" t="n">
        <v>2.8</v>
      </c>
      <c r="H574" t="n">
        <v>0</v>
      </c>
      <c r="I574" t="n">
        <v>0</v>
      </c>
      <c r="J574" t="n">
        <v>0</v>
      </c>
      <c r="K574" t="n">
        <v>0</v>
      </c>
      <c r="L574" t="n">
        <v>0</v>
      </c>
      <c r="M574" t="n">
        <v>0</v>
      </c>
      <c r="N574" t="n">
        <v>0</v>
      </c>
      <c r="O574" t="n">
        <v>0</v>
      </c>
      <c r="P574" t="n">
        <v>0</v>
      </c>
      <c r="Q574" t="n">
        <v>0</v>
      </c>
      <c r="R574" s="2" t="inlineStr"/>
    </row>
    <row r="575" ht="15" customHeight="1">
      <c r="A575" t="inlineStr">
        <is>
          <t>A 35637-2025</t>
        </is>
      </c>
      <c r="B575" s="1" t="n">
        <v>45859.46859953704</v>
      </c>
      <c r="C575" s="1" t="n">
        <v>45935</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41669-2025</t>
        </is>
      </c>
      <c r="B576" s="1" t="n">
        <v>45902.36149305556</v>
      </c>
      <c r="C576" s="1" t="n">
        <v>45935</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41722-2025</t>
        </is>
      </c>
      <c r="B577" s="1" t="n">
        <v>45902.44993055556</v>
      </c>
      <c r="C577" s="1" t="n">
        <v>45935</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71275-2021</t>
        </is>
      </c>
      <c r="B578" s="1" t="n">
        <v>44539</v>
      </c>
      <c r="C578" s="1" t="n">
        <v>45935</v>
      </c>
      <c r="D578" t="inlineStr">
        <is>
          <t>ÖREBRO LÄN</t>
        </is>
      </c>
      <c r="E578" t="inlineStr">
        <is>
          <t>ÖREBRO</t>
        </is>
      </c>
      <c r="G578" t="n">
        <v>0.9</v>
      </c>
      <c r="H578" t="n">
        <v>0</v>
      </c>
      <c r="I578" t="n">
        <v>0</v>
      </c>
      <c r="J578" t="n">
        <v>0</v>
      </c>
      <c r="K578" t="n">
        <v>0</v>
      </c>
      <c r="L578" t="n">
        <v>0</v>
      </c>
      <c r="M578" t="n">
        <v>0</v>
      </c>
      <c r="N578" t="n">
        <v>0</v>
      </c>
      <c r="O578" t="n">
        <v>0</v>
      </c>
      <c r="P578" t="n">
        <v>0</v>
      </c>
      <c r="Q578" t="n">
        <v>0</v>
      </c>
      <c r="R578" s="2" t="inlineStr"/>
    </row>
    <row r="579" ht="15" customHeight="1">
      <c r="A579" t="inlineStr">
        <is>
          <t>A 71285-2021</t>
        </is>
      </c>
      <c r="B579" s="1" t="n">
        <v>44539.62236111111</v>
      </c>
      <c r="C579" s="1" t="n">
        <v>45935</v>
      </c>
      <c r="D579" t="inlineStr">
        <is>
          <t>ÖREBRO LÄN</t>
        </is>
      </c>
      <c r="E579" t="inlineStr">
        <is>
          <t>ÖREBRO</t>
        </is>
      </c>
      <c r="G579" t="n">
        <v>0.8</v>
      </c>
      <c r="H579" t="n">
        <v>0</v>
      </c>
      <c r="I579" t="n">
        <v>0</v>
      </c>
      <c r="J579" t="n">
        <v>0</v>
      </c>
      <c r="K579" t="n">
        <v>0</v>
      </c>
      <c r="L579" t="n">
        <v>0</v>
      </c>
      <c r="M579" t="n">
        <v>0</v>
      </c>
      <c r="N579" t="n">
        <v>0</v>
      </c>
      <c r="O579" t="n">
        <v>0</v>
      </c>
      <c r="P579" t="n">
        <v>0</v>
      </c>
      <c r="Q579" t="n">
        <v>0</v>
      </c>
      <c r="R579" s="2" t="inlineStr"/>
    </row>
    <row r="580" ht="15" customHeight="1">
      <c r="A580" t="inlineStr">
        <is>
          <t>A 2658-2023</t>
        </is>
      </c>
      <c r="B580" s="1" t="n">
        <v>44944</v>
      </c>
      <c r="C580" s="1" t="n">
        <v>45935</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35928-2025</t>
        </is>
      </c>
      <c r="B581" s="1" t="n">
        <v>45862</v>
      </c>
      <c r="C581" s="1" t="n">
        <v>45935</v>
      </c>
      <c r="D581" t="inlineStr">
        <is>
          <t>ÖREBRO LÄN</t>
        </is>
      </c>
      <c r="E581" t="inlineStr">
        <is>
          <t>ÖREBRO</t>
        </is>
      </c>
      <c r="G581" t="n">
        <v>4.4</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45935</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52016-2024</t>
        </is>
      </c>
      <c r="B583" s="1" t="n">
        <v>45607.81917824074</v>
      </c>
      <c r="C583" s="1" t="n">
        <v>45935</v>
      </c>
      <c r="D583" t="inlineStr">
        <is>
          <t>ÖREBRO LÄN</t>
        </is>
      </c>
      <c r="E583" t="inlineStr">
        <is>
          <t>ÖREBRO</t>
        </is>
      </c>
      <c r="G583" t="n">
        <v>1.9</v>
      </c>
      <c r="H583" t="n">
        <v>0</v>
      </c>
      <c r="I583" t="n">
        <v>0</v>
      </c>
      <c r="J583" t="n">
        <v>0</v>
      </c>
      <c r="K583" t="n">
        <v>0</v>
      </c>
      <c r="L583" t="n">
        <v>0</v>
      </c>
      <c r="M583" t="n">
        <v>0</v>
      </c>
      <c r="N583" t="n">
        <v>0</v>
      </c>
      <c r="O583" t="n">
        <v>0</v>
      </c>
      <c r="P583" t="n">
        <v>0</v>
      </c>
      <c r="Q583" t="n">
        <v>0</v>
      </c>
      <c r="R583" s="2" t="inlineStr"/>
    </row>
    <row r="584" ht="15" customHeight="1">
      <c r="A584" t="inlineStr">
        <is>
          <t>A 32025-2024</t>
        </is>
      </c>
      <c r="B584" s="1" t="n">
        <v>45510.65754629629</v>
      </c>
      <c r="C584" s="1" t="n">
        <v>45935</v>
      </c>
      <c r="D584" t="inlineStr">
        <is>
          <t>ÖREBRO LÄN</t>
        </is>
      </c>
      <c r="E584" t="inlineStr">
        <is>
          <t>ÖREBRO</t>
        </is>
      </c>
      <c r="G584" t="n">
        <v>4</v>
      </c>
      <c r="H584" t="n">
        <v>0</v>
      </c>
      <c r="I584" t="n">
        <v>0</v>
      </c>
      <c r="J584" t="n">
        <v>0</v>
      </c>
      <c r="K584" t="n">
        <v>0</v>
      </c>
      <c r="L584" t="n">
        <v>0</v>
      </c>
      <c r="M584" t="n">
        <v>0</v>
      </c>
      <c r="N584" t="n">
        <v>0</v>
      </c>
      <c r="O584" t="n">
        <v>0</v>
      </c>
      <c r="P584" t="n">
        <v>0</v>
      </c>
      <c r="Q584" t="n">
        <v>0</v>
      </c>
      <c r="R584" s="2" t="inlineStr"/>
    </row>
    <row r="585" ht="15" customHeight="1">
      <c r="A585" t="inlineStr">
        <is>
          <t>A 27112-2023</t>
        </is>
      </c>
      <c r="B585" s="1" t="n">
        <v>45096</v>
      </c>
      <c r="C585" s="1" t="n">
        <v>45935</v>
      </c>
      <c r="D585" t="inlineStr">
        <is>
          <t>ÖREBRO LÄN</t>
        </is>
      </c>
      <c r="E585" t="inlineStr">
        <is>
          <t>ÖREBRO</t>
        </is>
      </c>
      <c r="G585" t="n">
        <v>0.7</v>
      </c>
      <c r="H585" t="n">
        <v>0</v>
      </c>
      <c r="I585" t="n">
        <v>0</v>
      </c>
      <c r="J585" t="n">
        <v>0</v>
      </c>
      <c r="K585" t="n">
        <v>0</v>
      </c>
      <c r="L585" t="n">
        <v>0</v>
      </c>
      <c r="M585" t="n">
        <v>0</v>
      </c>
      <c r="N585" t="n">
        <v>0</v>
      </c>
      <c r="O585" t="n">
        <v>0</v>
      </c>
      <c r="P585" t="n">
        <v>0</v>
      </c>
      <c r="Q585" t="n">
        <v>0</v>
      </c>
      <c r="R585" s="2" t="inlineStr"/>
    </row>
    <row r="586" ht="15" customHeight="1">
      <c r="A586" t="inlineStr">
        <is>
          <t>A 16739-2022</t>
        </is>
      </c>
      <c r="B586" s="1" t="n">
        <v>44673</v>
      </c>
      <c r="C586" s="1" t="n">
        <v>45935</v>
      </c>
      <c r="D586" t="inlineStr">
        <is>
          <t>ÖREBRO LÄN</t>
        </is>
      </c>
      <c r="E586" t="inlineStr">
        <is>
          <t>ÖREBRO</t>
        </is>
      </c>
      <c r="G586" t="n">
        <v>4.7</v>
      </c>
      <c r="H586" t="n">
        <v>0</v>
      </c>
      <c r="I586" t="n">
        <v>0</v>
      </c>
      <c r="J586" t="n">
        <v>0</v>
      </c>
      <c r="K586" t="n">
        <v>0</v>
      </c>
      <c r="L586" t="n">
        <v>0</v>
      </c>
      <c r="M586" t="n">
        <v>0</v>
      </c>
      <c r="N586" t="n">
        <v>0</v>
      </c>
      <c r="O586" t="n">
        <v>0</v>
      </c>
      <c r="P586" t="n">
        <v>0</v>
      </c>
      <c r="Q586" t="n">
        <v>0</v>
      </c>
      <c r="R586" s="2" t="inlineStr"/>
    </row>
    <row r="587" ht="15" customHeight="1">
      <c r="A587" t="inlineStr">
        <is>
          <t>A 8331-2021</t>
        </is>
      </c>
      <c r="B587" s="1" t="n">
        <v>44244</v>
      </c>
      <c r="C587" s="1" t="n">
        <v>45935</v>
      </c>
      <c r="D587" t="inlineStr">
        <is>
          <t>ÖREBRO LÄN</t>
        </is>
      </c>
      <c r="E587" t="inlineStr">
        <is>
          <t>ÖREBRO</t>
        </is>
      </c>
      <c r="G587" t="n">
        <v>9.1</v>
      </c>
      <c r="H587" t="n">
        <v>0</v>
      </c>
      <c r="I587" t="n">
        <v>0</v>
      </c>
      <c r="J587" t="n">
        <v>0</v>
      </c>
      <c r="K587" t="n">
        <v>0</v>
      </c>
      <c r="L587" t="n">
        <v>0</v>
      </c>
      <c r="M587" t="n">
        <v>0</v>
      </c>
      <c r="N587" t="n">
        <v>0</v>
      </c>
      <c r="O587" t="n">
        <v>0</v>
      </c>
      <c r="P587" t="n">
        <v>0</v>
      </c>
      <c r="Q587" t="n">
        <v>0</v>
      </c>
      <c r="R587" s="2" t="inlineStr"/>
    </row>
    <row r="588" ht="15" customHeight="1">
      <c r="A588" t="inlineStr">
        <is>
          <t>A 13592-2023</t>
        </is>
      </c>
      <c r="B588" s="1" t="n">
        <v>45006.56870370371</v>
      </c>
      <c r="C588" s="1" t="n">
        <v>45935</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55453-2024</t>
        </is>
      </c>
      <c r="B589" s="1" t="n">
        <v>45622.42097222222</v>
      </c>
      <c r="C589" s="1" t="n">
        <v>45935</v>
      </c>
      <c r="D589" t="inlineStr">
        <is>
          <t>ÖREBRO LÄN</t>
        </is>
      </c>
      <c r="E589" t="inlineStr">
        <is>
          <t>ÖREBRO</t>
        </is>
      </c>
      <c r="G589" t="n">
        <v>8.5</v>
      </c>
      <c r="H589" t="n">
        <v>0</v>
      </c>
      <c r="I589" t="n">
        <v>0</v>
      </c>
      <c r="J589" t="n">
        <v>0</v>
      </c>
      <c r="K589" t="n">
        <v>0</v>
      </c>
      <c r="L589" t="n">
        <v>0</v>
      </c>
      <c r="M589" t="n">
        <v>0</v>
      </c>
      <c r="N589" t="n">
        <v>0</v>
      </c>
      <c r="O589" t="n">
        <v>0</v>
      </c>
      <c r="P589" t="n">
        <v>0</v>
      </c>
      <c r="Q589" t="n">
        <v>0</v>
      </c>
      <c r="R589" s="2" t="inlineStr"/>
    </row>
    <row r="590" ht="15" customHeight="1">
      <c r="A590" t="inlineStr">
        <is>
          <t>A 40656-2023</t>
        </is>
      </c>
      <c r="B590" s="1" t="n">
        <v>45170</v>
      </c>
      <c r="C590" s="1" t="n">
        <v>45935</v>
      </c>
      <c r="D590" t="inlineStr">
        <is>
          <t>ÖREBRO LÄN</t>
        </is>
      </c>
      <c r="E590" t="inlineStr">
        <is>
          <t>ÖREBRO</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12245-2023</t>
        </is>
      </c>
      <c r="B591" s="1" t="n">
        <v>44998.64402777778</v>
      </c>
      <c r="C591" s="1" t="n">
        <v>45935</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36448-2025</t>
        </is>
      </c>
      <c r="B592" s="1" t="n">
        <v>45869.41929398148</v>
      </c>
      <c r="C592" s="1" t="n">
        <v>45935</v>
      </c>
      <c r="D592" t="inlineStr">
        <is>
          <t>ÖREBRO LÄN</t>
        </is>
      </c>
      <c r="E592" t="inlineStr">
        <is>
          <t>ÖREBRO</t>
        </is>
      </c>
      <c r="F592" t="inlineStr">
        <is>
          <t>Övriga Aktiebolag</t>
        </is>
      </c>
      <c r="G592" t="n">
        <v>4.3</v>
      </c>
      <c r="H592" t="n">
        <v>0</v>
      </c>
      <c r="I592" t="n">
        <v>0</v>
      </c>
      <c r="J592" t="n">
        <v>0</v>
      </c>
      <c r="K592" t="n">
        <v>0</v>
      </c>
      <c r="L592" t="n">
        <v>0</v>
      </c>
      <c r="M592" t="n">
        <v>0</v>
      </c>
      <c r="N592" t="n">
        <v>0</v>
      </c>
      <c r="O592" t="n">
        <v>0</v>
      </c>
      <c r="P592" t="n">
        <v>0</v>
      </c>
      <c r="Q592" t="n">
        <v>0</v>
      </c>
      <c r="R592" s="2" t="inlineStr"/>
    </row>
    <row r="593" ht="15" customHeight="1">
      <c r="A593" t="inlineStr">
        <is>
          <t>A 36447-2025</t>
        </is>
      </c>
      <c r="B593" s="1" t="n">
        <v>45869.41387731482</v>
      </c>
      <c r="C593" s="1" t="n">
        <v>45935</v>
      </c>
      <c r="D593" t="inlineStr">
        <is>
          <t>ÖREBRO LÄN</t>
        </is>
      </c>
      <c r="E593" t="inlineStr">
        <is>
          <t>ÖREBRO</t>
        </is>
      </c>
      <c r="F593" t="inlineStr">
        <is>
          <t>Övriga Aktiebolag</t>
        </is>
      </c>
      <c r="G593" t="n">
        <v>12.6</v>
      </c>
      <c r="H593" t="n">
        <v>0</v>
      </c>
      <c r="I593" t="n">
        <v>0</v>
      </c>
      <c r="J593" t="n">
        <v>0</v>
      </c>
      <c r="K593" t="n">
        <v>0</v>
      </c>
      <c r="L593" t="n">
        <v>0</v>
      </c>
      <c r="M593" t="n">
        <v>0</v>
      </c>
      <c r="N593" t="n">
        <v>0</v>
      </c>
      <c r="O593" t="n">
        <v>0</v>
      </c>
      <c r="P593" t="n">
        <v>0</v>
      </c>
      <c r="Q593" t="n">
        <v>0</v>
      </c>
      <c r="R593" s="2" t="inlineStr"/>
    </row>
    <row r="594">
      <c r="A594" t="inlineStr">
        <is>
          <t>A 8008-2024</t>
        </is>
      </c>
      <c r="B594" s="1" t="n">
        <v>45350.6794212963</v>
      </c>
      <c r="C594" s="1" t="n">
        <v>45935</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2025-10-05T12:42:09Z</dcterms:created>
  <dcterms:modified xmlns:dcterms="http://purl.org/dc/terms/" xmlns:xsi="http://www.w3.org/2001/XMLSchema-instance" xsi:type="dcterms:W3CDTF">2025-10-05T12:42:10Z</dcterms:modified>
</cp:coreProperties>
</file>