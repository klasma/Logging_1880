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45564</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45564</v>
      </c>
      <c r="D3" t="inlineStr">
        <is>
          <t>ÖREBRO LÄN</t>
        </is>
      </c>
      <c r="E3" t="inlineStr">
        <is>
          <t>ÖREBRO</t>
        </is>
      </c>
      <c r="G3" t="n">
        <v>2.4</v>
      </c>
      <c r="H3" t="n">
        <v>2</v>
      </c>
      <c r="I3" t="n">
        <v>12</v>
      </c>
      <c r="J3" t="n">
        <v>7</v>
      </c>
      <c r="K3" t="n">
        <v>2</v>
      </c>
      <c r="L3" t="n">
        <v>0</v>
      </c>
      <c r="M3" t="n">
        <v>0</v>
      </c>
      <c r="N3" t="n">
        <v>0</v>
      </c>
      <c r="O3" t="n">
        <v>9</v>
      </c>
      <c r="P3" t="n">
        <v>2</v>
      </c>
      <c r="Q3" t="n">
        <v>21</v>
      </c>
      <c r="R3"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45564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45564</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45564</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45564</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45564</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45564</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45564</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45564</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45564</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45564</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45564</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45564</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45564</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45564</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45564</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45564</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45564</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45564</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45564</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45564</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45564</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45564</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45564</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45564</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45564</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45564</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45564</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45564</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45564</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45564</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45564</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45564</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45564</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45564</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45564</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45564</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45564</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45564</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29478-2022</t>
        </is>
      </c>
      <c r="B42" s="1" t="n">
        <v>44753</v>
      </c>
      <c r="C42" s="1" t="n">
        <v>45564</v>
      </c>
      <c r="D42" t="inlineStr">
        <is>
          <t>ÖREBRO LÄN</t>
        </is>
      </c>
      <c r="E42" t="inlineStr">
        <is>
          <t>ÖREBRO</t>
        </is>
      </c>
      <c r="F42" t="inlineStr">
        <is>
          <t>Kommuner</t>
        </is>
      </c>
      <c r="G42" t="n">
        <v>0.5</v>
      </c>
      <c r="H42" t="n">
        <v>0</v>
      </c>
      <c r="I42" t="n">
        <v>2</v>
      </c>
      <c r="J42" t="n">
        <v>0</v>
      </c>
      <c r="K42" t="n">
        <v>0</v>
      </c>
      <c r="L42" t="n">
        <v>0</v>
      </c>
      <c r="M42" t="n">
        <v>0</v>
      </c>
      <c r="N42" t="n">
        <v>0</v>
      </c>
      <c r="O42" t="n">
        <v>0</v>
      </c>
      <c r="P42" t="n">
        <v>0</v>
      </c>
      <c r="Q42" t="n">
        <v>2</v>
      </c>
      <c r="R42" s="2" t="inlineStr">
        <is>
          <t>Fjällig taggsvamp s.str.
Svavelriska</t>
        </is>
      </c>
      <c r="S42">
        <f>HYPERLINK("https://klasma.github.io/Logging_1880/artfynd/A 29478-2022 artfynd.xlsx", "A 29478-2022")</f>
        <v/>
      </c>
      <c r="T42">
        <f>HYPERLINK("https://klasma.github.io/Logging_1880/kartor/A 29478-2022 karta.png", "A 29478-2022")</f>
        <v/>
      </c>
      <c r="V42">
        <f>HYPERLINK("https://klasma.github.io/Logging_1880/klagomål/A 29478-2022 FSC-klagomål.docx", "A 29478-2022")</f>
        <v/>
      </c>
      <c r="W42">
        <f>HYPERLINK("https://klasma.github.io/Logging_1880/klagomålsmail/A 29478-2022 FSC-klagomål mail.docx", "A 29478-2022")</f>
        <v/>
      </c>
      <c r="X42">
        <f>HYPERLINK("https://klasma.github.io/Logging_1880/tillsyn/A 29478-2022 tillsynsbegäran.docx", "A 29478-2022")</f>
        <v/>
      </c>
      <c r="Y42">
        <f>HYPERLINK("https://klasma.github.io/Logging_1880/tillsynsmail/A 29478-2022 tillsynsbegäran mail.docx", "A 29478-2022")</f>
        <v/>
      </c>
    </row>
    <row r="43" ht="15" customHeight="1">
      <c r="A43" t="inlineStr">
        <is>
          <t>A 34578-2022</t>
        </is>
      </c>
      <c r="B43" s="1" t="n">
        <v>44795</v>
      </c>
      <c r="C43" s="1" t="n">
        <v>45564</v>
      </c>
      <c r="D43" t="inlineStr">
        <is>
          <t>ÖREBRO LÄN</t>
        </is>
      </c>
      <c r="E43" t="inlineStr">
        <is>
          <t>ÖREBRO</t>
        </is>
      </c>
      <c r="G43" t="n">
        <v>1.3</v>
      </c>
      <c r="H43" t="n">
        <v>2</v>
      </c>
      <c r="I43" t="n">
        <v>0</v>
      </c>
      <c r="J43" t="n">
        <v>1</v>
      </c>
      <c r="K43" t="n">
        <v>0</v>
      </c>
      <c r="L43" t="n">
        <v>0</v>
      </c>
      <c r="M43" t="n">
        <v>0</v>
      </c>
      <c r="N43" t="n">
        <v>0</v>
      </c>
      <c r="O43" t="n">
        <v>1</v>
      </c>
      <c r="P43" t="n">
        <v>0</v>
      </c>
      <c r="Q43" t="n">
        <v>2</v>
      </c>
      <c r="R43" s="2" t="inlineStr">
        <is>
          <t>Svartvit flugsnappare
Enkelbeckasin</t>
        </is>
      </c>
      <c r="S43">
        <f>HYPERLINK("https://klasma.github.io/Logging_1880/artfynd/A 34578-2022 artfynd.xlsx", "A 34578-2022")</f>
        <v/>
      </c>
      <c r="T43">
        <f>HYPERLINK("https://klasma.github.io/Logging_1880/kartor/A 34578-2022 karta.png", "A 34578-2022")</f>
        <v/>
      </c>
      <c r="V43">
        <f>HYPERLINK("https://klasma.github.io/Logging_1880/klagomål/A 34578-2022 FSC-klagomål.docx", "A 34578-2022")</f>
        <v/>
      </c>
      <c r="W43">
        <f>HYPERLINK("https://klasma.github.io/Logging_1880/klagomålsmail/A 34578-2022 FSC-klagomål mail.docx", "A 34578-2022")</f>
        <v/>
      </c>
      <c r="X43">
        <f>HYPERLINK("https://klasma.github.io/Logging_1880/tillsyn/A 34578-2022 tillsynsbegäran.docx", "A 34578-2022")</f>
        <v/>
      </c>
      <c r="Y43">
        <f>HYPERLINK("https://klasma.github.io/Logging_1880/tillsynsmail/A 34578-2022 tillsynsbegäran mail.docx", "A 34578-2022")</f>
        <v/>
      </c>
      <c r="Z43">
        <f>HYPERLINK("https://klasma.github.io/Logging_1880/fåglar/A 34578-2022 prioriterade fågelarter.docx", "A 34578-2022")</f>
        <v/>
      </c>
    </row>
    <row r="44" ht="15" customHeight="1">
      <c r="A44" t="inlineStr">
        <is>
          <t>A 49552-2022</t>
        </is>
      </c>
      <c r="B44" s="1" t="n">
        <v>44862</v>
      </c>
      <c r="C44" s="1" t="n">
        <v>45564</v>
      </c>
      <c r="D44" t="inlineStr">
        <is>
          <t>ÖREBRO LÄN</t>
        </is>
      </c>
      <c r="E44" t="inlineStr">
        <is>
          <t>ÖREBRO</t>
        </is>
      </c>
      <c r="G44" t="n">
        <v>2.1</v>
      </c>
      <c r="H44" t="n">
        <v>0</v>
      </c>
      <c r="I44" t="n">
        <v>0</v>
      </c>
      <c r="J44" t="n">
        <v>1</v>
      </c>
      <c r="K44" t="n">
        <v>1</v>
      </c>
      <c r="L44" t="n">
        <v>0</v>
      </c>
      <c r="M44" t="n">
        <v>0</v>
      </c>
      <c r="N44" t="n">
        <v>0</v>
      </c>
      <c r="O44" t="n">
        <v>2</v>
      </c>
      <c r="P44" t="n">
        <v>1</v>
      </c>
      <c r="Q44" t="n">
        <v>2</v>
      </c>
      <c r="R44" s="2" t="inlineStr">
        <is>
          <t>Ulltickeporing
Ullticka</t>
        </is>
      </c>
      <c r="S44">
        <f>HYPERLINK("https://klasma.github.io/Logging_1880/artfynd/A 49552-2022 artfynd.xlsx", "A 49552-2022")</f>
        <v/>
      </c>
      <c r="T44">
        <f>HYPERLINK("https://klasma.github.io/Logging_1880/kartor/A 49552-2022 karta.png", "A 49552-2022")</f>
        <v/>
      </c>
      <c r="V44">
        <f>HYPERLINK("https://klasma.github.io/Logging_1880/klagomål/A 49552-2022 FSC-klagomål.docx", "A 49552-2022")</f>
        <v/>
      </c>
      <c r="W44">
        <f>HYPERLINK("https://klasma.github.io/Logging_1880/klagomålsmail/A 49552-2022 FSC-klagomål mail.docx", "A 49552-2022")</f>
        <v/>
      </c>
      <c r="X44">
        <f>HYPERLINK("https://klasma.github.io/Logging_1880/tillsyn/A 49552-2022 tillsynsbegäran.docx", "A 49552-2022")</f>
        <v/>
      </c>
      <c r="Y44">
        <f>HYPERLINK("https://klasma.github.io/Logging_1880/tillsynsmail/A 49552-2022 tillsynsbegäran mail.docx", "A 49552-2022")</f>
        <v/>
      </c>
    </row>
    <row r="45" ht="15" customHeight="1">
      <c r="A45" t="inlineStr">
        <is>
          <t>A 31234-2023</t>
        </is>
      </c>
      <c r="B45" s="1" t="n">
        <v>45114</v>
      </c>
      <c r="C45" s="1" t="n">
        <v>45564</v>
      </c>
      <c r="D45" t="inlineStr">
        <is>
          <t>ÖREBRO LÄN</t>
        </is>
      </c>
      <c r="E45" t="inlineStr">
        <is>
          <t>ÖREBRO</t>
        </is>
      </c>
      <c r="F45" t="inlineStr">
        <is>
          <t>Allmännings- och besparingsskogar</t>
        </is>
      </c>
      <c r="G45" t="n">
        <v>30.5</v>
      </c>
      <c r="H45" t="n">
        <v>2</v>
      </c>
      <c r="I45" t="n">
        <v>0</v>
      </c>
      <c r="J45" t="n">
        <v>2</v>
      </c>
      <c r="K45" t="n">
        <v>0</v>
      </c>
      <c r="L45" t="n">
        <v>0</v>
      </c>
      <c r="M45" t="n">
        <v>0</v>
      </c>
      <c r="N45" t="n">
        <v>0</v>
      </c>
      <c r="O45" t="n">
        <v>2</v>
      </c>
      <c r="P45" t="n">
        <v>0</v>
      </c>
      <c r="Q45" t="n">
        <v>2</v>
      </c>
      <c r="R45" s="2" t="inlineStr">
        <is>
          <t>Havsörn
Spillkråka</t>
        </is>
      </c>
      <c r="S45">
        <f>HYPERLINK("https://klasma.github.io/Logging_1880/artfynd/A 31234-2023 artfynd.xlsx", "A 31234-2023")</f>
        <v/>
      </c>
      <c r="T45">
        <f>HYPERLINK("https://klasma.github.io/Logging_1880/kartor/A 31234-2023 karta.png", "A 31234-2023")</f>
        <v/>
      </c>
      <c r="V45">
        <f>HYPERLINK("https://klasma.github.io/Logging_1880/klagomål/A 31234-2023 FSC-klagomål.docx", "A 31234-2023")</f>
        <v/>
      </c>
      <c r="W45">
        <f>HYPERLINK("https://klasma.github.io/Logging_1880/klagomålsmail/A 31234-2023 FSC-klagomål mail.docx", "A 31234-2023")</f>
        <v/>
      </c>
      <c r="X45">
        <f>HYPERLINK("https://klasma.github.io/Logging_1880/tillsyn/A 31234-2023 tillsynsbegäran.docx", "A 31234-2023")</f>
        <v/>
      </c>
      <c r="Y45">
        <f>HYPERLINK("https://klasma.github.io/Logging_1880/tillsynsmail/A 31234-2023 tillsynsbegäran mail.docx", "A 31234-2023")</f>
        <v/>
      </c>
      <c r="Z45">
        <f>HYPERLINK("https://klasma.github.io/Logging_1880/fåglar/A 31234-2023 prioriterade fågelarter.docx", "A 31234-2023")</f>
        <v/>
      </c>
    </row>
    <row r="46" ht="15" customHeight="1">
      <c r="A46" t="inlineStr">
        <is>
          <t>A 587-2024</t>
        </is>
      </c>
      <c r="B46" s="1" t="n">
        <v>45299</v>
      </c>
      <c r="C46" s="1" t="n">
        <v>45564</v>
      </c>
      <c r="D46" t="inlineStr">
        <is>
          <t>ÖREBRO LÄN</t>
        </is>
      </c>
      <c r="E46" t="inlineStr">
        <is>
          <t>ÖREBRO</t>
        </is>
      </c>
      <c r="F46" t="inlineStr">
        <is>
          <t>Övriga Aktiebolag</t>
        </is>
      </c>
      <c r="G46" t="n">
        <v>6.4</v>
      </c>
      <c r="H46" t="n">
        <v>2</v>
      </c>
      <c r="I46" t="n">
        <v>0</v>
      </c>
      <c r="J46" t="n">
        <v>2</v>
      </c>
      <c r="K46" t="n">
        <v>0</v>
      </c>
      <c r="L46" t="n">
        <v>0</v>
      </c>
      <c r="M46" t="n">
        <v>0</v>
      </c>
      <c r="N46" t="n">
        <v>0</v>
      </c>
      <c r="O46" t="n">
        <v>2</v>
      </c>
      <c r="P46" t="n">
        <v>0</v>
      </c>
      <c r="Q46" t="n">
        <v>2</v>
      </c>
      <c r="R46" s="2" t="inlineStr">
        <is>
          <t>Rödvingetrast
Spillkråka</t>
        </is>
      </c>
      <c r="S46">
        <f>HYPERLINK("https://klasma.github.io/Logging_1880/artfynd/A 587-2024 artfynd.xlsx", "A 587-2024")</f>
        <v/>
      </c>
      <c r="T46">
        <f>HYPERLINK("https://klasma.github.io/Logging_1880/kartor/A 587-2024 karta.png", "A 587-2024")</f>
        <v/>
      </c>
      <c r="V46">
        <f>HYPERLINK("https://klasma.github.io/Logging_1880/klagomål/A 587-2024 FSC-klagomål.docx", "A 587-2024")</f>
        <v/>
      </c>
      <c r="W46">
        <f>HYPERLINK("https://klasma.github.io/Logging_1880/klagomålsmail/A 587-2024 FSC-klagomål mail.docx", "A 587-2024")</f>
        <v/>
      </c>
      <c r="X46">
        <f>HYPERLINK("https://klasma.github.io/Logging_1880/tillsyn/A 587-2024 tillsynsbegäran.docx", "A 587-2024")</f>
        <v/>
      </c>
      <c r="Y46">
        <f>HYPERLINK("https://klasma.github.io/Logging_1880/tillsynsmail/A 587-2024 tillsynsbegäran mail.docx", "A 587-2024")</f>
        <v/>
      </c>
      <c r="Z46">
        <f>HYPERLINK("https://klasma.github.io/Logging_1880/fåglar/A 587-2024 prioriterade fågelarter.docx", "A 587-2024")</f>
        <v/>
      </c>
    </row>
    <row r="47" ht="15" customHeight="1">
      <c r="A47" t="inlineStr">
        <is>
          <t>A 7608-2024</t>
        </is>
      </c>
      <c r="B47" s="1" t="n">
        <v>45348</v>
      </c>
      <c r="C47" s="1" t="n">
        <v>45564</v>
      </c>
      <c r="D47" t="inlineStr">
        <is>
          <t>ÖREBRO LÄN</t>
        </is>
      </c>
      <c r="E47" t="inlineStr">
        <is>
          <t>ÖREBRO</t>
        </is>
      </c>
      <c r="G47" t="n">
        <v>4.3</v>
      </c>
      <c r="H47" t="n">
        <v>2</v>
      </c>
      <c r="I47" t="n">
        <v>0</v>
      </c>
      <c r="J47" t="n">
        <v>1</v>
      </c>
      <c r="K47" t="n">
        <v>1</v>
      </c>
      <c r="L47" t="n">
        <v>0</v>
      </c>
      <c r="M47" t="n">
        <v>0</v>
      </c>
      <c r="N47" t="n">
        <v>0</v>
      </c>
      <c r="O47" t="n">
        <v>2</v>
      </c>
      <c r="P47" t="n">
        <v>1</v>
      </c>
      <c r="Q47" t="n">
        <v>2</v>
      </c>
      <c r="R47" s="2" t="inlineStr">
        <is>
          <t>Knärot
Spillkråka</t>
        </is>
      </c>
      <c r="S47">
        <f>HYPERLINK("https://klasma.github.io/Logging_1880/artfynd/A 7608-2024 artfynd.xlsx", "A 7608-2024")</f>
        <v/>
      </c>
      <c r="T47">
        <f>HYPERLINK("https://klasma.github.io/Logging_1880/kartor/A 7608-2024 karta.png", "A 7608-2024")</f>
        <v/>
      </c>
      <c r="U47">
        <f>HYPERLINK("https://klasma.github.io/Logging_1880/knärot/A 7608-2024 karta knärot.png", "A 7608-2024")</f>
        <v/>
      </c>
      <c r="V47">
        <f>HYPERLINK("https://klasma.github.io/Logging_1880/klagomål/A 7608-2024 FSC-klagomål.docx", "A 7608-2024")</f>
        <v/>
      </c>
      <c r="W47">
        <f>HYPERLINK("https://klasma.github.io/Logging_1880/klagomålsmail/A 7608-2024 FSC-klagomål mail.docx", "A 7608-2024")</f>
        <v/>
      </c>
      <c r="X47">
        <f>HYPERLINK("https://klasma.github.io/Logging_1880/tillsyn/A 7608-2024 tillsynsbegäran.docx", "A 7608-2024")</f>
        <v/>
      </c>
      <c r="Y47">
        <f>HYPERLINK("https://klasma.github.io/Logging_1880/tillsynsmail/A 7608-2024 tillsynsbegäran mail.docx", "A 7608-2024")</f>
        <v/>
      </c>
      <c r="Z47">
        <f>HYPERLINK("https://klasma.github.io/Logging_1880/fåglar/A 7608-2024 prioriterade fågelarter.docx", "A 7608-2024")</f>
        <v/>
      </c>
    </row>
    <row r="48" ht="15" customHeight="1">
      <c r="A48" t="inlineStr">
        <is>
          <t>A 22577-2024</t>
        </is>
      </c>
      <c r="B48" s="1" t="n">
        <v>45447</v>
      </c>
      <c r="C48" s="1" t="n">
        <v>45564</v>
      </c>
      <c r="D48" t="inlineStr">
        <is>
          <t>ÖREBRO LÄN</t>
        </is>
      </c>
      <c r="E48" t="inlineStr">
        <is>
          <t>ÖREBRO</t>
        </is>
      </c>
      <c r="G48" t="n">
        <v>1.8</v>
      </c>
      <c r="H48" t="n">
        <v>1</v>
      </c>
      <c r="I48" t="n">
        <v>0</v>
      </c>
      <c r="J48" t="n">
        <v>2</v>
      </c>
      <c r="K48" t="n">
        <v>0</v>
      </c>
      <c r="L48" t="n">
        <v>0</v>
      </c>
      <c r="M48" t="n">
        <v>0</v>
      </c>
      <c r="N48" t="n">
        <v>0</v>
      </c>
      <c r="O48" t="n">
        <v>2</v>
      </c>
      <c r="P48" t="n">
        <v>0</v>
      </c>
      <c r="Q48" t="n">
        <v>2</v>
      </c>
      <c r="R48" s="2" t="inlineStr">
        <is>
          <t>Spillkråka
Ullticka</t>
        </is>
      </c>
      <c r="S48">
        <f>HYPERLINK("https://klasma.github.io/Logging_1880/artfynd/A 22577-2024 artfynd.xlsx", "A 22577-2024")</f>
        <v/>
      </c>
      <c r="T48">
        <f>HYPERLINK("https://klasma.github.io/Logging_1880/kartor/A 22577-2024 karta.png", "A 22577-2024")</f>
        <v/>
      </c>
      <c r="V48">
        <f>HYPERLINK("https://klasma.github.io/Logging_1880/klagomål/A 22577-2024 FSC-klagomål.docx", "A 22577-2024")</f>
        <v/>
      </c>
      <c r="W48">
        <f>HYPERLINK("https://klasma.github.io/Logging_1880/klagomålsmail/A 22577-2024 FSC-klagomål mail.docx", "A 22577-2024")</f>
        <v/>
      </c>
      <c r="X48">
        <f>HYPERLINK("https://klasma.github.io/Logging_1880/tillsyn/A 22577-2024 tillsynsbegäran.docx", "A 22577-2024")</f>
        <v/>
      </c>
      <c r="Y48">
        <f>HYPERLINK("https://klasma.github.io/Logging_1880/tillsynsmail/A 22577-2024 tillsynsbegäran mail.docx", "A 22577-2024")</f>
        <v/>
      </c>
      <c r="Z48">
        <f>HYPERLINK("https://klasma.github.io/Logging_1880/fåglar/A 22577-2024 prioriterade fågelarter.docx", "A 22577-2024")</f>
        <v/>
      </c>
    </row>
    <row r="49" ht="15" customHeight="1">
      <c r="A49" t="inlineStr">
        <is>
          <t>A 32410-2019</t>
        </is>
      </c>
      <c r="B49" s="1" t="n">
        <v>43644</v>
      </c>
      <c r="C49" s="1" t="n">
        <v>45564</v>
      </c>
      <c r="D49" t="inlineStr">
        <is>
          <t>ÖREBRO LÄN</t>
        </is>
      </c>
      <c r="E49" t="inlineStr">
        <is>
          <t>ÖREBRO</t>
        </is>
      </c>
      <c r="G49" t="n">
        <v>1.1</v>
      </c>
      <c r="H49" t="n">
        <v>1</v>
      </c>
      <c r="I49" t="n">
        <v>0</v>
      </c>
      <c r="J49" t="n">
        <v>0</v>
      </c>
      <c r="K49" t="n">
        <v>0</v>
      </c>
      <c r="L49" t="n">
        <v>0</v>
      </c>
      <c r="M49" t="n">
        <v>0</v>
      </c>
      <c r="N49" t="n">
        <v>0</v>
      </c>
      <c r="O49" t="n">
        <v>0</v>
      </c>
      <c r="P49" t="n">
        <v>0</v>
      </c>
      <c r="Q49" t="n">
        <v>1</v>
      </c>
      <c r="R49" s="2" t="inlineStr">
        <is>
          <t>Grönsiska</t>
        </is>
      </c>
      <c r="S49">
        <f>HYPERLINK("https://klasma.github.io/Logging_1880/artfynd/A 32410-2019 artfynd.xlsx", "A 32410-2019")</f>
        <v/>
      </c>
      <c r="T49">
        <f>HYPERLINK("https://klasma.github.io/Logging_1880/kartor/A 32410-2019 karta.png", "A 32410-2019")</f>
        <v/>
      </c>
      <c r="V49">
        <f>HYPERLINK("https://klasma.github.io/Logging_1880/klagomål/A 32410-2019 FSC-klagomål.docx", "A 32410-2019")</f>
        <v/>
      </c>
      <c r="W49">
        <f>HYPERLINK("https://klasma.github.io/Logging_1880/klagomålsmail/A 32410-2019 FSC-klagomål mail.docx", "A 32410-2019")</f>
        <v/>
      </c>
      <c r="X49">
        <f>HYPERLINK("https://klasma.github.io/Logging_1880/tillsyn/A 32410-2019 tillsynsbegäran.docx", "A 32410-2019")</f>
        <v/>
      </c>
      <c r="Y49">
        <f>HYPERLINK("https://klasma.github.io/Logging_1880/tillsynsmail/A 32410-2019 tillsynsbegäran mail.docx", "A 32410-2019")</f>
        <v/>
      </c>
      <c r="Z49">
        <f>HYPERLINK("https://klasma.github.io/Logging_1880/fåglar/A 32410-2019 prioriterade fågelarter.docx", "A 32410-2019")</f>
        <v/>
      </c>
    </row>
    <row r="50" ht="15" customHeight="1">
      <c r="A50" t="inlineStr">
        <is>
          <t>A 33605-2019</t>
        </is>
      </c>
      <c r="B50" s="1" t="n">
        <v>43644</v>
      </c>
      <c r="C50" s="1" t="n">
        <v>45564</v>
      </c>
      <c r="D50" t="inlineStr">
        <is>
          <t>ÖREBRO LÄN</t>
        </is>
      </c>
      <c r="E50" t="inlineStr">
        <is>
          <t>ÖREBRO</t>
        </is>
      </c>
      <c r="F50" t="inlineStr">
        <is>
          <t>Kommuner</t>
        </is>
      </c>
      <c r="G50" t="n">
        <v>1.5</v>
      </c>
      <c r="H50" t="n">
        <v>0</v>
      </c>
      <c r="I50" t="n">
        <v>0</v>
      </c>
      <c r="J50" t="n">
        <v>1</v>
      </c>
      <c r="K50" t="n">
        <v>0</v>
      </c>
      <c r="L50" t="n">
        <v>0</v>
      </c>
      <c r="M50" t="n">
        <v>0</v>
      </c>
      <c r="N50" t="n">
        <v>0</v>
      </c>
      <c r="O50" t="n">
        <v>1</v>
      </c>
      <c r="P50" t="n">
        <v>0</v>
      </c>
      <c r="Q50" t="n">
        <v>1</v>
      </c>
      <c r="R50" s="2" t="inlineStr">
        <is>
          <t>Tallticka</t>
        </is>
      </c>
      <c r="S50">
        <f>HYPERLINK("https://klasma.github.io/Logging_1880/artfynd/A 33605-2019 artfynd.xlsx", "A 33605-2019")</f>
        <v/>
      </c>
      <c r="T50">
        <f>HYPERLINK("https://klasma.github.io/Logging_1880/kartor/A 33605-2019 karta.png", "A 33605-2019")</f>
        <v/>
      </c>
      <c r="V50">
        <f>HYPERLINK("https://klasma.github.io/Logging_1880/klagomål/A 33605-2019 FSC-klagomål.docx", "A 33605-2019")</f>
        <v/>
      </c>
      <c r="W50">
        <f>HYPERLINK("https://klasma.github.io/Logging_1880/klagomålsmail/A 33605-2019 FSC-klagomål mail.docx", "A 33605-2019")</f>
        <v/>
      </c>
      <c r="X50">
        <f>HYPERLINK("https://klasma.github.io/Logging_1880/tillsyn/A 33605-2019 tillsynsbegäran.docx", "A 33605-2019")</f>
        <v/>
      </c>
      <c r="Y50">
        <f>HYPERLINK("https://klasma.github.io/Logging_1880/tillsynsmail/A 33605-2019 tillsynsbegäran mail.docx", "A 33605-2019")</f>
        <v/>
      </c>
    </row>
    <row r="51" ht="15" customHeight="1">
      <c r="A51" t="inlineStr">
        <is>
          <t>A 41505-2019</t>
        </is>
      </c>
      <c r="B51" s="1" t="n">
        <v>43696</v>
      </c>
      <c r="C51" s="1" t="n">
        <v>45564</v>
      </c>
      <c r="D51" t="inlineStr">
        <is>
          <t>ÖREBRO LÄN</t>
        </is>
      </c>
      <c r="E51" t="inlineStr">
        <is>
          <t>ÖREBRO</t>
        </is>
      </c>
      <c r="F51" t="inlineStr">
        <is>
          <t>Kommuner</t>
        </is>
      </c>
      <c r="G51" t="n">
        <v>2.9</v>
      </c>
      <c r="H51" t="n">
        <v>0</v>
      </c>
      <c r="I51" t="n">
        <v>0</v>
      </c>
      <c r="J51" t="n">
        <v>1</v>
      </c>
      <c r="K51" t="n">
        <v>0</v>
      </c>
      <c r="L51" t="n">
        <v>0</v>
      </c>
      <c r="M51" t="n">
        <v>0</v>
      </c>
      <c r="N51" t="n">
        <v>0</v>
      </c>
      <c r="O51" t="n">
        <v>1</v>
      </c>
      <c r="P51" t="n">
        <v>0</v>
      </c>
      <c r="Q51" t="n">
        <v>1</v>
      </c>
      <c r="R51" s="2" t="inlineStr">
        <is>
          <t>Tallticka</t>
        </is>
      </c>
      <c r="S51">
        <f>HYPERLINK("https://klasma.github.io/Logging_1880/artfynd/A 41505-2019 artfynd.xlsx", "A 41505-2019")</f>
        <v/>
      </c>
      <c r="T51">
        <f>HYPERLINK("https://klasma.github.io/Logging_1880/kartor/A 41505-2019 karta.png", "A 41505-2019")</f>
        <v/>
      </c>
      <c r="V51">
        <f>HYPERLINK("https://klasma.github.io/Logging_1880/klagomål/A 41505-2019 FSC-klagomål.docx", "A 41505-2019")</f>
        <v/>
      </c>
      <c r="W51">
        <f>HYPERLINK("https://klasma.github.io/Logging_1880/klagomålsmail/A 41505-2019 FSC-klagomål mail.docx", "A 41505-2019")</f>
        <v/>
      </c>
      <c r="X51">
        <f>HYPERLINK("https://klasma.github.io/Logging_1880/tillsyn/A 41505-2019 tillsynsbegäran.docx", "A 41505-2019")</f>
        <v/>
      </c>
      <c r="Y51">
        <f>HYPERLINK("https://klasma.github.io/Logging_1880/tillsynsmail/A 41505-2019 tillsynsbegäran mail.docx", "A 41505-2019")</f>
        <v/>
      </c>
    </row>
    <row r="52" ht="15" customHeight="1">
      <c r="A52" t="inlineStr">
        <is>
          <t>A 48989-2019</t>
        </is>
      </c>
      <c r="B52" s="1" t="n">
        <v>43729</v>
      </c>
      <c r="C52" s="1" t="n">
        <v>45564</v>
      </c>
      <c r="D52" t="inlineStr">
        <is>
          <t>ÖREBRO LÄN</t>
        </is>
      </c>
      <c r="E52" t="inlineStr">
        <is>
          <t>ÖREBRO</t>
        </is>
      </c>
      <c r="G52" t="n">
        <v>3.8</v>
      </c>
      <c r="H52" t="n">
        <v>1</v>
      </c>
      <c r="I52" t="n">
        <v>0</v>
      </c>
      <c r="J52" t="n">
        <v>1</v>
      </c>
      <c r="K52" t="n">
        <v>0</v>
      </c>
      <c r="L52" t="n">
        <v>0</v>
      </c>
      <c r="M52" t="n">
        <v>0</v>
      </c>
      <c r="N52" t="n">
        <v>0</v>
      </c>
      <c r="O52" t="n">
        <v>1</v>
      </c>
      <c r="P52" t="n">
        <v>0</v>
      </c>
      <c r="Q52" t="n">
        <v>1</v>
      </c>
      <c r="R52" s="2" t="inlineStr">
        <is>
          <t>Havsörn</t>
        </is>
      </c>
      <c r="S52">
        <f>HYPERLINK("https://klasma.github.io/Logging_1880/artfynd/A 48989-2019 artfynd.xlsx", "A 48989-2019")</f>
        <v/>
      </c>
      <c r="T52">
        <f>HYPERLINK("https://klasma.github.io/Logging_1880/kartor/A 48989-2019 karta.png", "A 48989-2019")</f>
        <v/>
      </c>
      <c r="V52">
        <f>HYPERLINK("https://klasma.github.io/Logging_1880/klagomål/A 48989-2019 FSC-klagomål.docx", "A 48989-2019")</f>
        <v/>
      </c>
      <c r="W52">
        <f>HYPERLINK("https://klasma.github.io/Logging_1880/klagomålsmail/A 48989-2019 FSC-klagomål mail.docx", "A 48989-2019")</f>
        <v/>
      </c>
      <c r="X52">
        <f>HYPERLINK("https://klasma.github.io/Logging_1880/tillsyn/A 48989-2019 tillsynsbegäran.docx", "A 48989-2019")</f>
        <v/>
      </c>
      <c r="Y52">
        <f>HYPERLINK("https://klasma.github.io/Logging_1880/tillsynsmail/A 48989-2019 tillsynsbegäran mail.docx", "A 48989-2019")</f>
        <v/>
      </c>
      <c r="Z52">
        <f>HYPERLINK("https://klasma.github.io/Logging_1880/fåglar/A 48989-2019 prioriterade fågelarter.docx", "A 48989-2019")</f>
        <v/>
      </c>
    </row>
    <row r="53" ht="15" customHeight="1">
      <c r="A53" t="inlineStr">
        <is>
          <t>A 1512-2020</t>
        </is>
      </c>
      <c r="B53" s="1" t="n">
        <v>43826</v>
      </c>
      <c r="C53" s="1" t="n">
        <v>45564</v>
      </c>
      <c r="D53" t="inlineStr">
        <is>
          <t>ÖREBRO LÄN</t>
        </is>
      </c>
      <c r="E53" t="inlineStr">
        <is>
          <t>ÖREBRO</t>
        </is>
      </c>
      <c r="G53" t="n">
        <v>6</v>
      </c>
      <c r="H53" t="n">
        <v>1</v>
      </c>
      <c r="I53" t="n">
        <v>0</v>
      </c>
      <c r="J53" t="n">
        <v>0</v>
      </c>
      <c r="K53" t="n">
        <v>0</v>
      </c>
      <c r="L53" t="n">
        <v>0</v>
      </c>
      <c r="M53" t="n">
        <v>0</v>
      </c>
      <c r="N53" t="n">
        <v>0</v>
      </c>
      <c r="O53" t="n">
        <v>0</v>
      </c>
      <c r="P53" t="n">
        <v>0</v>
      </c>
      <c r="Q53" t="n">
        <v>1</v>
      </c>
      <c r="R53" s="2" t="inlineStr">
        <is>
          <t>Revlummer</t>
        </is>
      </c>
      <c r="S53">
        <f>HYPERLINK("https://klasma.github.io/Logging_1880/artfynd/A 1512-2020 artfynd.xlsx", "A 1512-2020")</f>
        <v/>
      </c>
      <c r="T53">
        <f>HYPERLINK("https://klasma.github.io/Logging_1880/kartor/A 1512-2020 karta.png", "A 1512-2020")</f>
        <v/>
      </c>
      <c r="V53">
        <f>HYPERLINK("https://klasma.github.io/Logging_1880/klagomål/A 1512-2020 FSC-klagomål.docx", "A 1512-2020")</f>
        <v/>
      </c>
      <c r="W53">
        <f>HYPERLINK("https://klasma.github.io/Logging_1880/klagomålsmail/A 1512-2020 FSC-klagomål mail.docx", "A 1512-2020")</f>
        <v/>
      </c>
      <c r="X53">
        <f>HYPERLINK("https://klasma.github.io/Logging_1880/tillsyn/A 1512-2020 tillsynsbegäran.docx", "A 1512-2020")</f>
        <v/>
      </c>
      <c r="Y53">
        <f>HYPERLINK("https://klasma.github.io/Logging_1880/tillsynsmail/A 1512-2020 tillsynsbegäran mail.docx", "A 1512-2020")</f>
        <v/>
      </c>
    </row>
    <row r="54" ht="15" customHeight="1">
      <c r="A54" t="inlineStr">
        <is>
          <t>A 2697-2020</t>
        </is>
      </c>
      <c r="B54" s="1" t="n">
        <v>43843</v>
      </c>
      <c r="C54" s="1" t="n">
        <v>45564</v>
      </c>
      <c r="D54" t="inlineStr">
        <is>
          <t>ÖREBRO LÄN</t>
        </is>
      </c>
      <c r="E54" t="inlineStr">
        <is>
          <t>ÖREBRO</t>
        </is>
      </c>
      <c r="G54" t="n">
        <v>5</v>
      </c>
      <c r="H54" t="n">
        <v>0</v>
      </c>
      <c r="I54" t="n">
        <v>1</v>
      </c>
      <c r="J54" t="n">
        <v>0</v>
      </c>
      <c r="K54" t="n">
        <v>0</v>
      </c>
      <c r="L54" t="n">
        <v>0</v>
      </c>
      <c r="M54" t="n">
        <v>0</v>
      </c>
      <c r="N54" t="n">
        <v>0</v>
      </c>
      <c r="O54" t="n">
        <v>0</v>
      </c>
      <c r="P54" t="n">
        <v>0</v>
      </c>
      <c r="Q54" t="n">
        <v>1</v>
      </c>
      <c r="R54" s="2" t="inlineStr">
        <is>
          <t>Springkorn</t>
        </is>
      </c>
      <c r="S54">
        <f>HYPERLINK("https://klasma.github.io/Logging_1880/artfynd/A 2697-2020 artfynd.xlsx", "A 2697-2020")</f>
        <v/>
      </c>
      <c r="T54">
        <f>HYPERLINK("https://klasma.github.io/Logging_1880/kartor/A 2697-2020 karta.png", "A 2697-2020")</f>
        <v/>
      </c>
      <c r="V54">
        <f>HYPERLINK("https://klasma.github.io/Logging_1880/klagomål/A 2697-2020 FSC-klagomål.docx", "A 2697-2020")</f>
        <v/>
      </c>
      <c r="W54">
        <f>HYPERLINK("https://klasma.github.io/Logging_1880/klagomålsmail/A 2697-2020 FSC-klagomål mail.docx", "A 2697-2020")</f>
        <v/>
      </c>
      <c r="X54">
        <f>HYPERLINK("https://klasma.github.io/Logging_1880/tillsyn/A 2697-2020 tillsynsbegäran.docx", "A 2697-2020")</f>
        <v/>
      </c>
      <c r="Y54">
        <f>HYPERLINK("https://klasma.github.io/Logging_1880/tillsynsmail/A 2697-2020 tillsynsbegäran mail.docx", "A 2697-2020")</f>
        <v/>
      </c>
    </row>
    <row r="55" ht="15" customHeight="1">
      <c r="A55" t="inlineStr">
        <is>
          <t>A 1571-2020</t>
        </is>
      </c>
      <c r="B55" s="1" t="n">
        <v>43844</v>
      </c>
      <c r="C55" s="1" t="n">
        <v>45564</v>
      </c>
      <c r="D55" t="inlineStr">
        <is>
          <t>ÖREBRO LÄN</t>
        </is>
      </c>
      <c r="E55" t="inlineStr">
        <is>
          <t>ÖREBRO</t>
        </is>
      </c>
      <c r="G55" t="n">
        <v>2</v>
      </c>
      <c r="H55" t="n">
        <v>0</v>
      </c>
      <c r="I55" t="n">
        <v>0</v>
      </c>
      <c r="J55" t="n">
        <v>1</v>
      </c>
      <c r="K55" t="n">
        <v>0</v>
      </c>
      <c r="L55" t="n">
        <v>0</v>
      </c>
      <c r="M55" t="n">
        <v>0</v>
      </c>
      <c r="N55" t="n">
        <v>0</v>
      </c>
      <c r="O55" t="n">
        <v>1</v>
      </c>
      <c r="P55" t="n">
        <v>0</v>
      </c>
      <c r="Q55" t="n">
        <v>1</v>
      </c>
      <c r="R55" s="2" t="inlineStr">
        <is>
          <t>Ullticka</t>
        </is>
      </c>
      <c r="S55">
        <f>HYPERLINK("https://klasma.github.io/Logging_1880/artfynd/A 1571-2020 artfynd.xlsx", "A 1571-2020")</f>
        <v/>
      </c>
      <c r="T55">
        <f>HYPERLINK("https://klasma.github.io/Logging_1880/kartor/A 1571-2020 karta.png", "A 1571-2020")</f>
        <v/>
      </c>
      <c r="V55">
        <f>HYPERLINK("https://klasma.github.io/Logging_1880/klagomål/A 1571-2020 FSC-klagomål.docx", "A 1571-2020")</f>
        <v/>
      </c>
      <c r="W55">
        <f>HYPERLINK("https://klasma.github.io/Logging_1880/klagomålsmail/A 1571-2020 FSC-klagomål mail.docx", "A 1571-2020")</f>
        <v/>
      </c>
      <c r="X55">
        <f>HYPERLINK("https://klasma.github.io/Logging_1880/tillsyn/A 1571-2020 tillsynsbegäran.docx", "A 1571-2020")</f>
        <v/>
      </c>
      <c r="Y55">
        <f>HYPERLINK("https://klasma.github.io/Logging_1880/tillsynsmail/A 1571-2020 tillsynsbegäran mail.docx", "A 1571-2020")</f>
        <v/>
      </c>
    </row>
    <row r="56" ht="15" customHeight="1">
      <c r="A56" t="inlineStr">
        <is>
          <t>A 13831-2020</t>
        </is>
      </c>
      <c r="B56" s="1" t="n">
        <v>43905</v>
      </c>
      <c r="C56" s="1" t="n">
        <v>45564</v>
      </c>
      <c r="D56" t="inlineStr">
        <is>
          <t>ÖREBRO LÄN</t>
        </is>
      </c>
      <c r="E56" t="inlineStr">
        <is>
          <t>ÖREBRO</t>
        </is>
      </c>
      <c r="G56" t="n">
        <v>7.5</v>
      </c>
      <c r="H56" t="n">
        <v>0</v>
      </c>
      <c r="I56" t="n">
        <v>1</v>
      </c>
      <c r="J56" t="n">
        <v>0</v>
      </c>
      <c r="K56" t="n">
        <v>0</v>
      </c>
      <c r="L56" t="n">
        <v>0</v>
      </c>
      <c r="M56" t="n">
        <v>0</v>
      </c>
      <c r="N56" t="n">
        <v>0</v>
      </c>
      <c r="O56" t="n">
        <v>0</v>
      </c>
      <c r="P56" t="n">
        <v>0</v>
      </c>
      <c r="Q56" t="n">
        <v>1</v>
      </c>
      <c r="R56" s="2" t="inlineStr">
        <is>
          <t>Vätteros</t>
        </is>
      </c>
      <c r="S56">
        <f>HYPERLINK("https://klasma.github.io/Logging_1880/artfynd/A 13831-2020 artfynd.xlsx", "A 13831-2020")</f>
        <v/>
      </c>
      <c r="T56">
        <f>HYPERLINK("https://klasma.github.io/Logging_1880/kartor/A 13831-2020 karta.png", "A 13831-2020")</f>
        <v/>
      </c>
      <c r="V56">
        <f>HYPERLINK("https://klasma.github.io/Logging_1880/klagomål/A 13831-2020 FSC-klagomål.docx", "A 13831-2020")</f>
        <v/>
      </c>
      <c r="W56">
        <f>HYPERLINK("https://klasma.github.io/Logging_1880/klagomålsmail/A 13831-2020 FSC-klagomål mail.docx", "A 13831-2020")</f>
        <v/>
      </c>
      <c r="X56">
        <f>HYPERLINK("https://klasma.github.io/Logging_1880/tillsyn/A 13831-2020 tillsynsbegäran.docx", "A 13831-2020")</f>
        <v/>
      </c>
      <c r="Y56">
        <f>HYPERLINK("https://klasma.github.io/Logging_1880/tillsynsmail/A 13831-2020 tillsynsbegäran mail.docx", "A 13831-2020")</f>
        <v/>
      </c>
    </row>
    <row r="57" ht="15" customHeight="1">
      <c r="A57" t="inlineStr">
        <is>
          <t>A 25192-2020</t>
        </is>
      </c>
      <c r="B57" s="1" t="n">
        <v>43980</v>
      </c>
      <c r="C57" s="1" t="n">
        <v>45564</v>
      </c>
      <c r="D57" t="inlineStr">
        <is>
          <t>ÖREBRO LÄN</t>
        </is>
      </c>
      <c r="E57" t="inlineStr">
        <is>
          <t>ÖREBRO</t>
        </is>
      </c>
      <c r="F57" t="inlineStr">
        <is>
          <t>Övriga Aktiebolag</t>
        </is>
      </c>
      <c r="G57" t="n">
        <v>1.5</v>
      </c>
      <c r="H57" t="n">
        <v>1</v>
      </c>
      <c r="I57" t="n">
        <v>1</v>
      </c>
      <c r="J57" t="n">
        <v>0</v>
      </c>
      <c r="K57" t="n">
        <v>0</v>
      </c>
      <c r="L57" t="n">
        <v>0</v>
      </c>
      <c r="M57" t="n">
        <v>0</v>
      </c>
      <c r="N57" t="n">
        <v>0</v>
      </c>
      <c r="O57" t="n">
        <v>0</v>
      </c>
      <c r="P57" t="n">
        <v>0</v>
      </c>
      <c r="Q57" t="n">
        <v>1</v>
      </c>
      <c r="R57" s="2" t="inlineStr">
        <is>
          <t>Spindelblomster</t>
        </is>
      </c>
      <c r="S57">
        <f>HYPERLINK("https://klasma.github.io/Logging_1880/artfynd/A 25192-2020 artfynd.xlsx", "A 25192-2020")</f>
        <v/>
      </c>
      <c r="T57">
        <f>HYPERLINK("https://klasma.github.io/Logging_1880/kartor/A 25192-2020 karta.png", "A 25192-2020")</f>
        <v/>
      </c>
      <c r="V57">
        <f>HYPERLINK("https://klasma.github.io/Logging_1880/klagomål/A 25192-2020 FSC-klagomål.docx", "A 25192-2020")</f>
        <v/>
      </c>
      <c r="W57">
        <f>HYPERLINK("https://klasma.github.io/Logging_1880/klagomålsmail/A 25192-2020 FSC-klagomål mail.docx", "A 25192-2020")</f>
        <v/>
      </c>
      <c r="X57">
        <f>HYPERLINK("https://klasma.github.io/Logging_1880/tillsyn/A 25192-2020 tillsynsbegäran.docx", "A 25192-2020")</f>
        <v/>
      </c>
      <c r="Y57">
        <f>HYPERLINK("https://klasma.github.io/Logging_1880/tillsynsmail/A 25192-2020 tillsynsbegäran mail.docx", "A 25192-2020")</f>
        <v/>
      </c>
    </row>
    <row r="58" ht="15" customHeight="1">
      <c r="A58" t="inlineStr">
        <is>
          <t>A 26426-2020</t>
        </is>
      </c>
      <c r="B58" s="1" t="n">
        <v>43986</v>
      </c>
      <c r="C58" s="1" t="n">
        <v>45564</v>
      </c>
      <c r="D58" t="inlineStr">
        <is>
          <t>ÖREBRO LÄN</t>
        </is>
      </c>
      <c r="E58" t="inlineStr">
        <is>
          <t>ÖREBRO</t>
        </is>
      </c>
      <c r="G58" t="n">
        <v>1</v>
      </c>
      <c r="H58" t="n">
        <v>0</v>
      </c>
      <c r="I58" t="n">
        <v>0</v>
      </c>
      <c r="J58" t="n">
        <v>0</v>
      </c>
      <c r="K58" t="n">
        <v>1</v>
      </c>
      <c r="L58" t="n">
        <v>0</v>
      </c>
      <c r="M58" t="n">
        <v>0</v>
      </c>
      <c r="N58" t="n">
        <v>0</v>
      </c>
      <c r="O58" t="n">
        <v>1</v>
      </c>
      <c r="P58" t="n">
        <v>1</v>
      </c>
      <c r="Q58" t="n">
        <v>1</v>
      </c>
      <c r="R58" s="2" t="inlineStr">
        <is>
          <t>Slöjröksvamp</t>
        </is>
      </c>
      <c r="S58">
        <f>HYPERLINK("https://klasma.github.io/Logging_1880/artfynd/A 26426-2020 artfynd.xlsx", "A 26426-2020")</f>
        <v/>
      </c>
      <c r="T58">
        <f>HYPERLINK("https://klasma.github.io/Logging_1880/kartor/A 26426-2020 karta.png", "A 26426-2020")</f>
        <v/>
      </c>
      <c r="V58">
        <f>HYPERLINK("https://klasma.github.io/Logging_1880/klagomål/A 26426-2020 FSC-klagomål.docx", "A 26426-2020")</f>
        <v/>
      </c>
      <c r="W58">
        <f>HYPERLINK("https://klasma.github.io/Logging_1880/klagomålsmail/A 26426-2020 FSC-klagomål mail.docx", "A 26426-2020")</f>
        <v/>
      </c>
      <c r="X58">
        <f>HYPERLINK("https://klasma.github.io/Logging_1880/tillsyn/A 26426-2020 tillsynsbegäran.docx", "A 26426-2020")</f>
        <v/>
      </c>
      <c r="Y58">
        <f>HYPERLINK("https://klasma.github.io/Logging_1880/tillsynsmail/A 26426-2020 tillsynsbegäran mail.docx", "A 26426-2020")</f>
        <v/>
      </c>
    </row>
    <row r="59" ht="15" customHeight="1">
      <c r="A59" t="inlineStr">
        <is>
          <t>A 28103-2020</t>
        </is>
      </c>
      <c r="B59" s="1" t="n">
        <v>43997</v>
      </c>
      <c r="C59" s="1" t="n">
        <v>45564</v>
      </c>
      <c r="D59" t="inlineStr">
        <is>
          <t>ÖREBRO LÄN</t>
        </is>
      </c>
      <c r="E59" t="inlineStr">
        <is>
          <t>ÖREBRO</t>
        </is>
      </c>
      <c r="G59" t="n">
        <v>1.6</v>
      </c>
      <c r="H59" t="n">
        <v>1</v>
      </c>
      <c r="I59" t="n">
        <v>0</v>
      </c>
      <c r="J59" t="n">
        <v>0</v>
      </c>
      <c r="K59" t="n">
        <v>1</v>
      </c>
      <c r="L59" t="n">
        <v>0</v>
      </c>
      <c r="M59" t="n">
        <v>0</v>
      </c>
      <c r="N59" t="n">
        <v>0</v>
      </c>
      <c r="O59" t="n">
        <v>1</v>
      </c>
      <c r="P59" t="n">
        <v>1</v>
      </c>
      <c r="Q59" t="n">
        <v>1</v>
      </c>
      <c r="R59" s="2" t="inlineStr">
        <is>
          <t>Knärot</t>
        </is>
      </c>
      <c r="S59">
        <f>HYPERLINK("https://klasma.github.io/Logging_1880/artfynd/A 28103-2020 artfynd.xlsx", "A 28103-2020")</f>
        <v/>
      </c>
      <c r="T59">
        <f>HYPERLINK("https://klasma.github.io/Logging_1880/kartor/A 28103-2020 karta.png", "A 28103-2020")</f>
        <v/>
      </c>
      <c r="U59">
        <f>HYPERLINK("https://klasma.github.io/Logging_1880/knärot/A 28103-2020 karta knärot.png", "A 28103-2020")</f>
        <v/>
      </c>
      <c r="V59">
        <f>HYPERLINK("https://klasma.github.io/Logging_1880/klagomål/A 28103-2020 FSC-klagomål.docx", "A 28103-2020")</f>
        <v/>
      </c>
      <c r="W59">
        <f>HYPERLINK("https://klasma.github.io/Logging_1880/klagomålsmail/A 28103-2020 FSC-klagomål mail.docx", "A 28103-2020")</f>
        <v/>
      </c>
      <c r="X59">
        <f>HYPERLINK("https://klasma.github.io/Logging_1880/tillsyn/A 28103-2020 tillsynsbegäran.docx", "A 28103-2020")</f>
        <v/>
      </c>
      <c r="Y59">
        <f>HYPERLINK("https://klasma.github.io/Logging_1880/tillsynsmail/A 28103-2020 tillsynsbegäran mail.docx", "A 28103-2020")</f>
        <v/>
      </c>
    </row>
    <row r="60" ht="15" customHeight="1">
      <c r="A60" t="inlineStr">
        <is>
          <t>A 28710-2020</t>
        </is>
      </c>
      <c r="B60" s="1" t="n">
        <v>43998</v>
      </c>
      <c r="C60" s="1" t="n">
        <v>45564</v>
      </c>
      <c r="D60" t="inlineStr">
        <is>
          <t>ÖREBRO LÄN</t>
        </is>
      </c>
      <c r="E60" t="inlineStr">
        <is>
          <t>ÖREBRO</t>
        </is>
      </c>
      <c r="F60" t="inlineStr">
        <is>
          <t>Kommuner</t>
        </is>
      </c>
      <c r="G60" t="n">
        <v>1</v>
      </c>
      <c r="H60" t="n">
        <v>0</v>
      </c>
      <c r="I60" t="n">
        <v>0</v>
      </c>
      <c r="J60" t="n">
        <v>1</v>
      </c>
      <c r="K60" t="n">
        <v>0</v>
      </c>
      <c r="L60" t="n">
        <v>0</v>
      </c>
      <c r="M60" t="n">
        <v>0</v>
      </c>
      <c r="N60" t="n">
        <v>0</v>
      </c>
      <c r="O60" t="n">
        <v>1</v>
      </c>
      <c r="P60" t="n">
        <v>0</v>
      </c>
      <c r="Q60" t="n">
        <v>1</v>
      </c>
      <c r="R60" s="2" t="inlineStr">
        <is>
          <t>Ullticka</t>
        </is>
      </c>
      <c r="S60">
        <f>HYPERLINK("https://klasma.github.io/Logging_1880/artfynd/A 28710-2020 artfynd.xlsx", "A 28710-2020")</f>
        <v/>
      </c>
      <c r="T60">
        <f>HYPERLINK("https://klasma.github.io/Logging_1880/kartor/A 28710-2020 karta.png", "A 28710-2020")</f>
        <v/>
      </c>
      <c r="V60">
        <f>HYPERLINK("https://klasma.github.io/Logging_1880/klagomål/A 28710-2020 FSC-klagomål.docx", "A 28710-2020")</f>
        <v/>
      </c>
      <c r="W60">
        <f>HYPERLINK("https://klasma.github.io/Logging_1880/klagomålsmail/A 28710-2020 FSC-klagomål mail.docx", "A 28710-2020")</f>
        <v/>
      </c>
      <c r="X60">
        <f>HYPERLINK("https://klasma.github.io/Logging_1880/tillsyn/A 28710-2020 tillsynsbegäran.docx", "A 28710-2020")</f>
        <v/>
      </c>
      <c r="Y60">
        <f>HYPERLINK("https://klasma.github.io/Logging_1880/tillsynsmail/A 28710-2020 tillsynsbegäran mail.docx", "A 28710-2020")</f>
        <v/>
      </c>
    </row>
    <row r="61" ht="15" customHeight="1">
      <c r="A61" t="inlineStr">
        <is>
          <t>A 29454-2020</t>
        </is>
      </c>
      <c r="B61" s="1" t="n">
        <v>44004</v>
      </c>
      <c r="C61" s="1" t="n">
        <v>45564</v>
      </c>
      <c r="D61" t="inlineStr">
        <is>
          <t>ÖREBRO LÄN</t>
        </is>
      </c>
      <c r="E61" t="inlineStr">
        <is>
          <t>ÖREBRO</t>
        </is>
      </c>
      <c r="G61" t="n">
        <v>5</v>
      </c>
      <c r="H61" t="n">
        <v>0</v>
      </c>
      <c r="I61" t="n">
        <v>0</v>
      </c>
      <c r="J61" t="n">
        <v>1</v>
      </c>
      <c r="K61" t="n">
        <v>0</v>
      </c>
      <c r="L61" t="n">
        <v>0</v>
      </c>
      <c r="M61" t="n">
        <v>0</v>
      </c>
      <c r="N61" t="n">
        <v>0</v>
      </c>
      <c r="O61" t="n">
        <v>1</v>
      </c>
      <c r="P61" t="n">
        <v>0</v>
      </c>
      <c r="Q61" t="n">
        <v>1</v>
      </c>
      <c r="R61" s="2" t="inlineStr">
        <is>
          <t>Stornopping</t>
        </is>
      </c>
      <c r="S61">
        <f>HYPERLINK("https://klasma.github.io/Logging_1880/artfynd/A 29454-2020 artfynd.xlsx", "A 29454-2020")</f>
        <v/>
      </c>
      <c r="T61">
        <f>HYPERLINK("https://klasma.github.io/Logging_1880/kartor/A 29454-2020 karta.png", "A 29454-2020")</f>
        <v/>
      </c>
      <c r="V61">
        <f>HYPERLINK("https://klasma.github.io/Logging_1880/klagomål/A 29454-2020 FSC-klagomål.docx", "A 29454-2020")</f>
        <v/>
      </c>
      <c r="W61">
        <f>HYPERLINK("https://klasma.github.io/Logging_1880/klagomålsmail/A 29454-2020 FSC-klagomål mail.docx", "A 29454-2020")</f>
        <v/>
      </c>
      <c r="X61">
        <f>HYPERLINK("https://klasma.github.io/Logging_1880/tillsyn/A 29454-2020 tillsynsbegäran.docx", "A 29454-2020")</f>
        <v/>
      </c>
      <c r="Y61">
        <f>HYPERLINK("https://klasma.github.io/Logging_1880/tillsynsmail/A 29454-2020 tillsynsbegäran mail.docx", "A 29454-2020")</f>
        <v/>
      </c>
    </row>
    <row r="62" ht="15" customHeight="1">
      <c r="A62" t="inlineStr">
        <is>
          <t>A 58966-2020</t>
        </is>
      </c>
      <c r="B62" s="1" t="n">
        <v>44146</v>
      </c>
      <c r="C62" s="1" t="n">
        <v>45564</v>
      </c>
      <c r="D62" t="inlineStr">
        <is>
          <t>ÖREBRO LÄN</t>
        </is>
      </c>
      <c r="E62" t="inlineStr">
        <is>
          <t>ÖREBRO</t>
        </is>
      </c>
      <c r="F62" t="inlineStr">
        <is>
          <t>Övriga Aktiebolag</t>
        </is>
      </c>
      <c r="G62" t="n">
        <v>1.2</v>
      </c>
      <c r="H62" t="n">
        <v>1</v>
      </c>
      <c r="I62" t="n">
        <v>0</v>
      </c>
      <c r="J62" t="n">
        <v>1</v>
      </c>
      <c r="K62" t="n">
        <v>0</v>
      </c>
      <c r="L62" t="n">
        <v>0</v>
      </c>
      <c r="M62" t="n">
        <v>0</v>
      </c>
      <c r="N62" t="n">
        <v>0</v>
      </c>
      <c r="O62" t="n">
        <v>1</v>
      </c>
      <c r="P62" t="n">
        <v>0</v>
      </c>
      <c r="Q62" t="n">
        <v>1</v>
      </c>
      <c r="R62" s="2" t="inlineStr">
        <is>
          <t>Kråka</t>
        </is>
      </c>
      <c r="S62">
        <f>HYPERLINK("https://klasma.github.io/Logging_1880/artfynd/A 58966-2020 artfynd.xlsx", "A 58966-2020")</f>
        <v/>
      </c>
      <c r="T62">
        <f>HYPERLINK("https://klasma.github.io/Logging_1880/kartor/A 58966-2020 karta.png", "A 58966-2020")</f>
        <v/>
      </c>
      <c r="V62">
        <f>HYPERLINK("https://klasma.github.io/Logging_1880/klagomål/A 58966-2020 FSC-klagomål.docx", "A 58966-2020")</f>
        <v/>
      </c>
      <c r="W62">
        <f>HYPERLINK("https://klasma.github.io/Logging_1880/klagomålsmail/A 58966-2020 FSC-klagomål mail.docx", "A 58966-2020")</f>
        <v/>
      </c>
      <c r="X62">
        <f>HYPERLINK("https://klasma.github.io/Logging_1880/tillsyn/A 58966-2020 tillsynsbegäran.docx", "A 58966-2020")</f>
        <v/>
      </c>
      <c r="Y62">
        <f>HYPERLINK("https://klasma.github.io/Logging_1880/tillsynsmail/A 58966-2020 tillsynsbegäran mail.docx", "A 58966-2020")</f>
        <v/>
      </c>
      <c r="Z62">
        <f>HYPERLINK("https://klasma.github.io/Logging_1880/fåglar/A 58966-2020 prioriterade fågelarter.docx", "A 58966-2020")</f>
        <v/>
      </c>
    </row>
    <row r="63" ht="15" customHeight="1">
      <c r="A63" t="inlineStr">
        <is>
          <t>A 4014-2021</t>
        </is>
      </c>
      <c r="B63" s="1" t="n">
        <v>44218</v>
      </c>
      <c r="C63" s="1" t="n">
        <v>45564</v>
      </c>
      <c r="D63" t="inlineStr">
        <is>
          <t>ÖREBRO LÄN</t>
        </is>
      </c>
      <c r="E63" t="inlineStr">
        <is>
          <t>ÖREBRO</t>
        </is>
      </c>
      <c r="G63" t="n">
        <v>10.5</v>
      </c>
      <c r="H63" t="n">
        <v>0</v>
      </c>
      <c r="I63" t="n">
        <v>1</v>
      </c>
      <c r="J63" t="n">
        <v>0</v>
      </c>
      <c r="K63" t="n">
        <v>0</v>
      </c>
      <c r="L63" t="n">
        <v>0</v>
      </c>
      <c r="M63" t="n">
        <v>0</v>
      </c>
      <c r="N63" t="n">
        <v>0</v>
      </c>
      <c r="O63" t="n">
        <v>0</v>
      </c>
      <c r="P63" t="n">
        <v>0</v>
      </c>
      <c r="Q63" t="n">
        <v>1</v>
      </c>
      <c r="R63" s="2" t="inlineStr">
        <is>
          <t>Springkorn</t>
        </is>
      </c>
      <c r="S63">
        <f>HYPERLINK("https://klasma.github.io/Logging_1880/artfynd/A 4014-2021 artfynd.xlsx", "A 4014-2021")</f>
        <v/>
      </c>
      <c r="T63">
        <f>HYPERLINK("https://klasma.github.io/Logging_1880/kartor/A 4014-2021 karta.png", "A 4014-2021")</f>
        <v/>
      </c>
      <c r="V63">
        <f>HYPERLINK("https://klasma.github.io/Logging_1880/klagomål/A 4014-2021 FSC-klagomål.docx", "A 4014-2021")</f>
        <v/>
      </c>
      <c r="W63">
        <f>HYPERLINK("https://klasma.github.io/Logging_1880/klagomålsmail/A 4014-2021 FSC-klagomål mail.docx", "A 4014-2021")</f>
        <v/>
      </c>
      <c r="X63">
        <f>HYPERLINK("https://klasma.github.io/Logging_1880/tillsyn/A 4014-2021 tillsynsbegäran.docx", "A 4014-2021")</f>
        <v/>
      </c>
      <c r="Y63">
        <f>HYPERLINK("https://klasma.github.io/Logging_1880/tillsynsmail/A 4014-2021 tillsynsbegäran mail.docx", "A 4014-2021")</f>
        <v/>
      </c>
    </row>
    <row r="64" ht="15" customHeight="1">
      <c r="A64" t="inlineStr">
        <is>
          <t>A 6926-2021</t>
        </is>
      </c>
      <c r="B64" s="1" t="n">
        <v>44237</v>
      </c>
      <c r="C64" s="1" t="n">
        <v>45564</v>
      </c>
      <c r="D64" t="inlineStr">
        <is>
          <t>ÖREBRO LÄN</t>
        </is>
      </c>
      <c r="E64" t="inlineStr">
        <is>
          <t>ÖREBRO</t>
        </is>
      </c>
      <c r="G64" t="n">
        <v>0.9</v>
      </c>
      <c r="H64" t="n">
        <v>1</v>
      </c>
      <c r="I64" t="n">
        <v>1</v>
      </c>
      <c r="J64" t="n">
        <v>0</v>
      </c>
      <c r="K64" t="n">
        <v>0</v>
      </c>
      <c r="L64" t="n">
        <v>0</v>
      </c>
      <c r="M64" t="n">
        <v>0</v>
      </c>
      <c r="N64" t="n">
        <v>0</v>
      </c>
      <c r="O64" t="n">
        <v>0</v>
      </c>
      <c r="P64" t="n">
        <v>0</v>
      </c>
      <c r="Q64" t="n">
        <v>1</v>
      </c>
      <c r="R64" s="2" t="inlineStr">
        <is>
          <t>Skogsknipprot</t>
        </is>
      </c>
      <c r="S64">
        <f>HYPERLINK("https://klasma.github.io/Logging_1880/artfynd/A 6926-2021 artfynd.xlsx", "A 6926-2021")</f>
        <v/>
      </c>
      <c r="T64">
        <f>HYPERLINK("https://klasma.github.io/Logging_1880/kartor/A 6926-2021 karta.png", "A 6926-2021")</f>
        <v/>
      </c>
      <c r="V64">
        <f>HYPERLINK("https://klasma.github.io/Logging_1880/klagomål/A 6926-2021 FSC-klagomål.docx", "A 6926-2021")</f>
        <v/>
      </c>
      <c r="W64">
        <f>HYPERLINK("https://klasma.github.io/Logging_1880/klagomålsmail/A 6926-2021 FSC-klagomål mail.docx", "A 6926-2021")</f>
        <v/>
      </c>
      <c r="X64">
        <f>HYPERLINK("https://klasma.github.io/Logging_1880/tillsyn/A 6926-2021 tillsynsbegäran.docx", "A 6926-2021")</f>
        <v/>
      </c>
      <c r="Y64">
        <f>HYPERLINK("https://klasma.github.io/Logging_1880/tillsynsmail/A 6926-2021 tillsynsbegäran mail.docx", "A 6926-2021")</f>
        <v/>
      </c>
    </row>
    <row r="65" ht="15" customHeight="1">
      <c r="A65" t="inlineStr">
        <is>
          <t>A 8256-2021</t>
        </is>
      </c>
      <c r="B65" s="1" t="n">
        <v>44244</v>
      </c>
      <c r="C65" s="1" t="n">
        <v>45564</v>
      </c>
      <c r="D65" t="inlineStr">
        <is>
          <t>ÖREBRO LÄN</t>
        </is>
      </c>
      <c r="E65" t="inlineStr">
        <is>
          <t>ÖREBRO</t>
        </is>
      </c>
      <c r="G65" t="n">
        <v>1</v>
      </c>
      <c r="H65" t="n">
        <v>0</v>
      </c>
      <c r="I65" t="n">
        <v>1</v>
      </c>
      <c r="J65" t="n">
        <v>0</v>
      </c>
      <c r="K65" t="n">
        <v>0</v>
      </c>
      <c r="L65" t="n">
        <v>0</v>
      </c>
      <c r="M65" t="n">
        <v>0</v>
      </c>
      <c r="N65" t="n">
        <v>0</v>
      </c>
      <c r="O65" t="n">
        <v>0</v>
      </c>
      <c r="P65" t="n">
        <v>0</v>
      </c>
      <c r="Q65" t="n">
        <v>1</v>
      </c>
      <c r="R65" s="2" t="inlineStr">
        <is>
          <t>Svart trolldruva</t>
        </is>
      </c>
      <c r="S65">
        <f>HYPERLINK("https://klasma.github.io/Logging_1880/artfynd/A 8256-2021 artfynd.xlsx", "A 8256-2021")</f>
        <v/>
      </c>
      <c r="T65">
        <f>HYPERLINK("https://klasma.github.io/Logging_1880/kartor/A 8256-2021 karta.png", "A 8256-2021")</f>
        <v/>
      </c>
      <c r="V65">
        <f>HYPERLINK("https://klasma.github.io/Logging_1880/klagomål/A 8256-2021 FSC-klagomål.docx", "A 8256-2021")</f>
        <v/>
      </c>
      <c r="W65">
        <f>HYPERLINK("https://klasma.github.io/Logging_1880/klagomålsmail/A 8256-2021 FSC-klagomål mail.docx", "A 8256-2021")</f>
        <v/>
      </c>
      <c r="X65">
        <f>HYPERLINK("https://klasma.github.io/Logging_1880/tillsyn/A 8256-2021 tillsynsbegäran.docx", "A 8256-2021")</f>
        <v/>
      </c>
      <c r="Y65">
        <f>HYPERLINK("https://klasma.github.io/Logging_1880/tillsynsmail/A 8256-2021 tillsynsbegäran mail.docx", "A 8256-2021")</f>
        <v/>
      </c>
    </row>
    <row r="66" ht="15" customHeight="1">
      <c r="A66" t="inlineStr">
        <is>
          <t>A 8577-2021</t>
        </is>
      </c>
      <c r="B66" s="1" t="n">
        <v>44245</v>
      </c>
      <c r="C66" s="1" t="n">
        <v>45564</v>
      </c>
      <c r="D66" t="inlineStr">
        <is>
          <t>ÖREBRO LÄN</t>
        </is>
      </c>
      <c r="E66" t="inlineStr">
        <is>
          <t>ÖREBRO</t>
        </is>
      </c>
      <c r="G66" t="n">
        <v>6.5</v>
      </c>
      <c r="H66" t="n">
        <v>0</v>
      </c>
      <c r="I66" t="n">
        <v>1</v>
      </c>
      <c r="J66" t="n">
        <v>0</v>
      </c>
      <c r="K66" t="n">
        <v>0</v>
      </c>
      <c r="L66" t="n">
        <v>0</v>
      </c>
      <c r="M66" t="n">
        <v>0</v>
      </c>
      <c r="N66" t="n">
        <v>0</v>
      </c>
      <c r="O66" t="n">
        <v>0</v>
      </c>
      <c r="P66" t="n">
        <v>0</v>
      </c>
      <c r="Q66" t="n">
        <v>1</v>
      </c>
      <c r="R66" s="2" t="inlineStr">
        <is>
          <t>Spädstarr</t>
        </is>
      </c>
      <c r="S66">
        <f>HYPERLINK("https://klasma.github.io/Logging_1880/artfynd/A 8577-2021 artfynd.xlsx", "A 8577-2021")</f>
        <v/>
      </c>
      <c r="T66">
        <f>HYPERLINK("https://klasma.github.io/Logging_1880/kartor/A 8577-2021 karta.png", "A 8577-2021")</f>
        <v/>
      </c>
      <c r="V66">
        <f>HYPERLINK("https://klasma.github.io/Logging_1880/klagomål/A 8577-2021 FSC-klagomål.docx", "A 8577-2021")</f>
        <v/>
      </c>
      <c r="W66">
        <f>HYPERLINK("https://klasma.github.io/Logging_1880/klagomålsmail/A 8577-2021 FSC-klagomål mail.docx", "A 8577-2021")</f>
        <v/>
      </c>
      <c r="X66">
        <f>HYPERLINK("https://klasma.github.io/Logging_1880/tillsyn/A 8577-2021 tillsynsbegäran.docx", "A 8577-2021")</f>
        <v/>
      </c>
      <c r="Y66">
        <f>HYPERLINK("https://klasma.github.io/Logging_1880/tillsynsmail/A 8577-2021 tillsynsbegäran mail.docx", "A 8577-2021")</f>
        <v/>
      </c>
    </row>
    <row r="67" ht="15" customHeight="1">
      <c r="A67" t="inlineStr">
        <is>
          <t>A 15621-2021</t>
        </is>
      </c>
      <c r="B67" s="1" t="n">
        <v>44285</v>
      </c>
      <c r="C67" s="1" t="n">
        <v>45564</v>
      </c>
      <c r="D67" t="inlineStr">
        <is>
          <t>ÖREBRO LÄN</t>
        </is>
      </c>
      <c r="E67" t="inlineStr">
        <is>
          <t>ÖREBRO</t>
        </is>
      </c>
      <c r="G67" t="n">
        <v>2.8</v>
      </c>
      <c r="H67" t="n">
        <v>1</v>
      </c>
      <c r="I67" t="n">
        <v>0</v>
      </c>
      <c r="J67" t="n">
        <v>0</v>
      </c>
      <c r="K67" t="n">
        <v>0</v>
      </c>
      <c r="L67" t="n">
        <v>0</v>
      </c>
      <c r="M67" t="n">
        <v>0</v>
      </c>
      <c r="N67" t="n">
        <v>0</v>
      </c>
      <c r="O67" t="n">
        <v>0</v>
      </c>
      <c r="P67" t="n">
        <v>0</v>
      </c>
      <c r="Q67" t="n">
        <v>1</v>
      </c>
      <c r="R67" s="2" t="inlineStr">
        <is>
          <t>Fläcknycklar</t>
        </is>
      </c>
      <c r="S67">
        <f>HYPERLINK("https://klasma.github.io/Logging_1880/artfynd/A 15621-2021 artfynd.xlsx", "A 15621-2021")</f>
        <v/>
      </c>
      <c r="T67">
        <f>HYPERLINK("https://klasma.github.io/Logging_1880/kartor/A 15621-2021 karta.png", "A 15621-2021")</f>
        <v/>
      </c>
      <c r="V67">
        <f>HYPERLINK("https://klasma.github.io/Logging_1880/klagomål/A 15621-2021 FSC-klagomål.docx", "A 15621-2021")</f>
        <v/>
      </c>
      <c r="W67">
        <f>HYPERLINK("https://klasma.github.io/Logging_1880/klagomålsmail/A 15621-2021 FSC-klagomål mail.docx", "A 15621-2021")</f>
        <v/>
      </c>
      <c r="X67">
        <f>HYPERLINK("https://klasma.github.io/Logging_1880/tillsyn/A 15621-2021 tillsynsbegäran.docx", "A 15621-2021")</f>
        <v/>
      </c>
      <c r="Y67">
        <f>HYPERLINK("https://klasma.github.io/Logging_1880/tillsynsmail/A 15621-2021 tillsynsbegäran mail.docx", "A 15621-2021")</f>
        <v/>
      </c>
    </row>
    <row r="68" ht="15" customHeight="1">
      <c r="A68" t="inlineStr">
        <is>
          <t>A 32595-2021</t>
        </is>
      </c>
      <c r="B68" s="1" t="n">
        <v>44375</v>
      </c>
      <c r="C68" s="1" t="n">
        <v>45564</v>
      </c>
      <c r="D68" t="inlineStr">
        <is>
          <t>ÖREBRO LÄN</t>
        </is>
      </c>
      <c r="E68" t="inlineStr">
        <is>
          <t>ÖREBRO</t>
        </is>
      </c>
      <c r="F68" t="inlineStr">
        <is>
          <t>Kommuner</t>
        </is>
      </c>
      <c r="G68" t="n">
        <v>2.7</v>
      </c>
      <c r="H68" t="n">
        <v>1</v>
      </c>
      <c r="I68" t="n">
        <v>1</v>
      </c>
      <c r="J68" t="n">
        <v>0</v>
      </c>
      <c r="K68" t="n">
        <v>0</v>
      </c>
      <c r="L68" t="n">
        <v>0</v>
      </c>
      <c r="M68" t="n">
        <v>0</v>
      </c>
      <c r="N68" t="n">
        <v>0</v>
      </c>
      <c r="O68" t="n">
        <v>0</v>
      </c>
      <c r="P68" t="n">
        <v>0</v>
      </c>
      <c r="Q68" t="n">
        <v>1</v>
      </c>
      <c r="R68" s="2" t="inlineStr">
        <is>
          <t>Purpurknipprot</t>
        </is>
      </c>
      <c r="S68">
        <f>HYPERLINK("https://klasma.github.io/Logging_1880/artfynd/A 32595-2021 artfynd.xlsx", "A 32595-2021")</f>
        <v/>
      </c>
      <c r="T68">
        <f>HYPERLINK("https://klasma.github.io/Logging_1880/kartor/A 32595-2021 karta.png", "A 32595-2021")</f>
        <v/>
      </c>
      <c r="V68">
        <f>HYPERLINK("https://klasma.github.io/Logging_1880/klagomål/A 32595-2021 FSC-klagomål.docx", "A 32595-2021")</f>
        <v/>
      </c>
      <c r="W68">
        <f>HYPERLINK("https://klasma.github.io/Logging_1880/klagomålsmail/A 32595-2021 FSC-klagomål mail.docx", "A 32595-2021")</f>
        <v/>
      </c>
      <c r="X68">
        <f>HYPERLINK("https://klasma.github.io/Logging_1880/tillsyn/A 32595-2021 tillsynsbegäran.docx", "A 32595-2021")</f>
        <v/>
      </c>
      <c r="Y68">
        <f>HYPERLINK("https://klasma.github.io/Logging_1880/tillsynsmail/A 32595-2021 tillsynsbegäran mail.docx", "A 32595-2021")</f>
        <v/>
      </c>
    </row>
    <row r="69" ht="15" customHeight="1">
      <c r="A69" t="inlineStr">
        <is>
          <t>A 44052-2021</t>
        </is>
      </c>
      <c r="B69" s="1" t="n">
        <v>44434</v>
      </c>
      <c r="C69" s="1" t="n">
        <v>45564</v>
      </c>
      <c r="D69" t="inlineStr">
        <is>
          <t>ÖREBRO LÄN</t>
        </is>
      </c>
      <c r="E69" t="inlineStr">
        <is>
          <t>ÖREBRO</t>
        </is>
      </c>
      <c r="G69" t="n">
        <v>2.5</v>
      </c>
      <c r="H69" t="n">
        <v>1</v>
      </c>
      <c r="I69" t="n">
        <v>0</v>
      </c>
      <c r="J69" t="n">
        <v>1</v>
      </c>
      <c r="K69" t="n">
        <v>0</v>
      </c>
      <c r="L69" t="n">
        <v>0</v>
      </c>
      <c r="M69" t="n">
        <v>0</v>
      </c>
      <c r="N69" t="n">
        <v>0</v>
      </c>
      <c r="O69" t="n">
        <v>1</v>
      </c>
      <c r="P69" t="n">
        <v>0</v>
      </c>
      <c r="Q69" t="n">
        <v>1</v>
      </c>
      <c r="R69" s="2" t="inlineStr">
        <is>
          <t>Spillkråka</t>
        </is>
      </c>
      <c r="S69">
        <f>HYPERLINK("https://klasma.github.io/Logging_1880/artfynd/A 44052-2021 artfynd.xlsx", "A 44052-2021")</f>
        <v/>
      </c>
      <c r="T69">
        <f>HYPERLINK("https://klasma.github.io/Logging_1880/kartor/A 44052-2021 karta.png", "A 44052-2021")</f>
        <v/>
      </c>
      <c r="V69">
        <f>HYPERLINK("https://klasma.github.io/Logging_1880/klagomål/A 44052-2021 FSC-klagomål.docx", "A 44052-2021")</f>
        <v/>
      </c>
      <c r="W69">
        <f>HYPERLINK("https://klasma.github.io/Logging_1880/klagomålsmail/A 44052-2021 FSC-klagomål mail.docx", "A 44052-2021")</f>
        <v/>
      </c>
      <c r="X69">
        <f>HYPERLINK("https://klasma.github.io/Logging_1880/tillsyn/A 44052-2021 tillsynsbegäran.docx", "A 44052-2021")</f>
        <v/>
      </c>
      <c r="Y69">
        <f>HYPERLINK("https://klasma.github.io/Logging_1880/tillsynsmail/A 44052-2021 tillsynsbegäran mail.docx", "A 44052-2021")</f>
        <v/>
      </c>
      <c r="Z69">
        <f>HYPERLINK("https://klasma.github.io/Logging_1880/fåglar/A 44052-2021 prioriterade fågelarter.docx", "A 44052-2021")</f>
        <v/>
      </c>
    </row>
    <row r="70" ht="15" customHeight="1">
      <c r="A70" t="inlineStr">
        <is>
          <t>A 44389-2021</t>
        </is>
      </c>
      <c r="B70" s="1" t="n">
        <v>44435</v>
      </c>
      <c r="C70" s="1" t="n">
        <v>45564</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57108-2021</t>
        </is>
      </c>
      <c r="B71" s="1" t="n">
        <v>44482</v>
      </c>
      <c r="C71" s="1" t="n">
        <v>45564</v>
      </c>
      <c r="D71" t="inlineStr">
        <is>
          <t>ÖREBRO LÄN</t>
        </is>
      </c>
      <c r="E71" t="inlineStr">
        <is>
          <t>ÖREBRO</t>
        </is>
      </c>
      <c r="F71" t="inlineStr">
        <is>
          <t>Sveaskog</t>
        </is>
      </c>
      <c r="G71" t="n">
        <v>0.6</v>
      </c>
      <c r="H71" t="n">
        <v>1</v>
      </c>
      <c r="I71" t="n">
        <v>0</v>
      </c>
      <c r="J71" t="n">
        <v>0</v>
      </c>
      <c r="K71" t="n">
        <v>0</v>
      </c>
      <c r="L71" t="n">
        <v>0</v>
      </c>
      <c r="M71" t="n">
        <v>0</v>
      </c>
      <c r="N71" t="n">
        <v>0</v>
      </c>
      <c r="O71" t="n">
        <v>0</v>
      </c>
      <c r="P71" t="n">
        <v>0</v>
      </c>
      <c r="Q71" t="n">
        <v>1</v>
      </c>
      <c r="R71" s="2" t="inlineStr">
        <is>
          <t>Huggorm</t>
        </is>
      </c>
      <c r="S71">
        <f>HYPERLINK("https://klasma.github.io/Logging_1880/artfynd/A 57108-2021 artfynd.xlsx", "A 57108-2021")</f>
        <v/>
      </c>
      <c r="T71">
        <f>HYPERLINK("https://klasma.github.io/Logging_1880/kartor/A 57108-2021 karta.png", "A 57108-2021")</f>
        <v/>
      </c>
      <c r="V71">
        <f>HYPERLINK("https://klasma.github.io/Logging_1880/klagomål/A 57108-2021 FSC-klagomål.docx", "A 57108-2021")</f>
        <v/>
      </c>
      <c r="W71">
        <f>HYPERLINK("https://klasma.github.io/Logging_1880/klagomålsmail/A 57108-2021 FSC-klagomål mail.docx", "A 57108-2021")</f>
        <v/>
      </c>
      <c r="X71">
        <f>HYPERLINK("https://klasma.github.io/Logging_1880/tillsyn/A 57108-2021 tillsynsbegäran.docx", "A 57108-2021")</f>
        <v/>
      </c>
      <c r="Y71">
        <f>HYPERLINK("https://klasma.github.io/Logging_1880/tillsynsmail/A 57108-2021 tillsynsbegäran mail.docx", "A 57108-2021")</f>
        <v/>
      </c>
    </row>
    <row r="72" ht="15" customHeight="1">
      <c r="A72" t="inlineStr">
        <is>
          <t>A 4943-2022</t>
        </is>
      </c>
      <c r="B72" s="1" t="n">
        <v>44593</v>
      </c>
      <c r="C72" s="1" t="n">
        <v>45564</v>
      </c>
      <c r="D72" t="inlineStr">
        <is>
          <t>ÖREBRO LÄN</t>
        </is>
      </c>
      <c r="E72" t="inlineStr">
        <is>
          <t>ÖREBRO</t>
        </is>
      </c>
      <c r="G72" t="n">
        <v>1.1</v>
      </c>
      <c r="H72" t="n">
        <v>0</v>
      </c>
      <c r="I72" t="n">
        <v>0</v>
      </c>
      <c r="J72" t="n">
        <v>1</v>
      </c>
      <c r="K72" t="n">
        <v>0</v>
      </c>
      <c r="L72" t="n">
        <v>0</v>
      </c>
      <c r="M72" t="n">
        <v>0</v>
      </c>
      <c r="N72" t="n">
        <v>0</v>
      </c>
      <c r="O72" t="n">
        <v>1</v>
      </c>
      <c r="P72" t="n">
        <v>0</v>
      </c>
      <c r="Q72" t="n">
        <v>1</v>
      </c>
      <c r="R72" s="2" t="inlineStr">
        <is>
          <t>Skinntagging</t>
        </is>
      </c>
      <c r="S72">
        <f>HYPERLINK("https://klasma.github.io/Logging_1880/artfynd/A 4943-2022 artfynd.xlsx", "A 4943-2022")</f>
        <v/>
      </c>
      <c r="T72">
        <f>HYPERLINK("https://klasma.github.io/Logging_1880/kartor/A 4943-2022 karta.png", "A 4943-2022")</f>
        <v/>
      </c>
      <c r="V72">
        <f>HYPERLINK("https://klasma.github.io/Logging_1880/klagomål/A 4943-2022 FSC-klagomål.docx", "A 4943-2022")</f>
        <v/>
      </c>
      <c r="W72">
        <f>HYPERLINK("https://klasma.github.io/Logging_1880/klagomålsmail/A 4943-2022 FSC-klagomål mail.docx", "A 4943-2022")</f>
        <v/>
      </c>
      <c r="X72">
        <f>HYPERLINK("https://klasma.github.io/Logging_1880/tillsyn/A 4943-2022 tillsynsbegäran.docx", "A 4943-2022")</f>
        <v/>
      </c>
      <c r="Y72">
        <f>HYPERLINK("https://klasma.github.io/Logging_1880/tillsynsmail/A 4943-2022 tillsynsbegäran mail.docx", "A 4943-2022")</f>
        <v/>
      </c>
    </row>
    <row r="73" ht="15" customHeight="1">
      <c r="A73" t="inlineStr">
        <is>
          <t>A 12974-2022</t>
        </is>
      </c>
      <c r="B73" s="1" t="n">
        <v>44643</v>
      </c>
      <c r="C73" s="1" t="n">
        <v>45564</v>
      </c>
      <c r="D73" t="inlineStr">
        <is>
          <t>ÖREBRO LÄN</t>
        </is>
      </c>
      <c r="E73" t="inlineStr">
        <is>
          <t>ÖREBRO</t>
        </is>
      </c>
      <c r="G73" t="n">
        <v>3.3</v>
      </c>
      <c r="H73" t="n">
        <v>1</v>
      </c>
      <c r="I73" t="n">
        <v>0</v>
      </c>
      <c r="J73" t="n">
        <v>1</v>
      </c>
      <c r="K73" t="n">
        <v>0</v>
      </c>
      <c r="L73" t="n">
        <v>0</v>
      </c>
      <c r="M73" t="n">
        <v>0</v>
      </c>
      <c r="N73" t="n">
        <v>0</v>
      </c>
      <c r="O73" t="n">
        <v>1</v>
      </c>
      <c r="P73" t="n">
        <v>0</v>
      </c>
      <c r="Q73" t="n">
        <v>1</v>
      </c>
      <c r="R73" s="2" t="inlineStr">
        <is>
          <t>Duvhök</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26890-2022</t>
        </is>
      </c>
      <c r="B74" s="1" t="n">
        <v>44740</v>
      </c>
      <c r="C74" s="1" t="n">
        <v>45564</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45564</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45564</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45564</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45564</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45564</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45564</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45564</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45564</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45564</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45564</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45564</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45564</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45564</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45564</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45564</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18034-2019</t>
        </is>
      </c>
      <c r="B90" s="1" t="n">
        <v>43557</v>
      </c>
      <c r="C90" s="1" t="n">
        <v>45564</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19042-2019</t>
        </is>
      </c>
      <c r="B91" s="1" t="n">
        <v>43563</v>
      </c>
      <c r="C91" s="1" t="n">
        <v>45564</v>
      </c>
      <c r="D91" t="inlineStr">
        <is>
          <t>ÖREBRO LÄN</t>
        </is>
      </c>
      <c r="E91" t="inlineStr">
        <is>
          <t>ÖREBRO</t>
        </is>
      </c>
      <c r="G91" t="n">
        <v>2.8</v>
      </c>
      <c r="H91" t="n">
        <v>0</v>
      </c>
      <c r="I91" t="n">
        <v>0</v>
      </c>
      <c r="J91" t="n">
        <v>0</v>
      </c>
      <c r="K91" t="n">
        <v>0</v>
      </c>
      <c r="L91" t="n">
        <v>0</v>
      </c>
      <c r="M91" t="n">
        <v>0</v>
      </c>
      <c r="N91" t="n">
        <v>0</v>
      </c>
      <c r="O91" t="n">
        <v>0</v>
      </c>
      <c r="P91" t="n">
        <v>0</v>
      </c>
      <c r="Q91" t="n">
        <v>0</v>
      </c>
      <c r="R91" s="2" t="inlineStr"/>
    </row>
    <row r="92" ht="15" customHeight="1">
      <c r="A92" t="inlineStr">
        <is>
          <t>A 19047-2019</t>
        </is>
      </c>
      <c r="B92" s="1" t="n">
        <v>43563</v>
      </c>
      <c r="C92" s="1" t="n">
        <v>45564</v>
      </c>
      <c r="D92" t="inlineStr">
        <is>
          <t>ÖREBRO LÄN</t>
        </is>
      </c>
      <c r="E92" t="inlineStr">
        <is>
          <t>ÖREBRO</t>
        </is>
      </c>
      <c r="G92" t="n">
        <v>1.3</v>
      </c>
      <c r="H92" t="n">
        <v>0</v>
      </c>
      <c r="I92" t="n">
        <v>0</v>
      </c>
      <c r="J92" t="n">
        <v>0</v>
      </c>
      <c r="K92" t="n">
        <v>0</v>
      </c>
      <c r="L92" t="n">
        <v>0</v>
      </c>
      <c r="M92" t="n">
        <v>0</v>
      </c>
      <c r="N92" t="n">
        <v>0</v>
      </c>
      <c r="O92" t="n">
        <v>0</v>
      </c>
      <c r="P92" t="n">
        <v>0</v>
      </c>
      <c r="Q92" t="n">
        <v>0</v>
      </c>
      <c r="R92" s="2" t="inlineStr"/>
    </row>
    <row r="93" ht="15" customHeight="1">
      <c r="A93" t="inlineStr">
        <is>
          <t>A 19049-2019</t>
        </is>
      </c>
      <c r="B93" s="1" t="n">
        <v>43563</v>
      </c>
      <c r="C93" s="1" t="n">
        <v>45564</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19044-2019</t>
        </is>
      </c>
      <c r="B94" s="1" t="n">
        <v>43563</v>
      </c>
      <c r="C94" s="1" t="n">
        <v>45564</v>
      </c>
      <c r="D94" t="inlineStr">
        <is>
          <t>ÖREBRO LÄN</t>
        </is>
      </c>
      <c r="E94" t="inlineStr">
        <is>
          <t>ÖREBRO</t>
        </is>
      </c>
      <c r="G94" t="n">
        <v>0.8</v>
      </c>
      <c r="H94" t="n">
        <v>0</v>
      </c>
      <c r="I94" t="n">
        <v>0</v>
      </c>
      <c r="J94" t="n">
        <v>0</v>
      </c>
      <c r="K94" t="n">
        <v>0</v>
      </c>
      <c r="L94" t="n">
        <v>0</v>
      </c>
      <c r="M94" t="n">
        <v>0</v>
      </c>
      <c r="N94" t="n">
        <v>0</v>
      </c>
      <c r="O94" t="n">
        <v>0</v>
      </c>
      <c r="P94" t="n">
        <v>0</v>
      </c>
      <c r="Q94" t="n">
        <v>0</v>
      </c>
      <c r="R94" s="2" t="inlineStr"/>
    </row>
    <row r="95" ht="15" customHeight="1">
      <c r="A95" t="inlineStr">
        <is>
          <t>A 19048-2019</t>
        </is>
      </c>
      <c r="B95" s="1" t="n">
        <v>43563</v>
      </c>
      <c r="C95" s="1" t="n">
        <v>45564</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19045-2019</t>
        </is>
      </c>
      <c r="B96" s="1" t="n">
        <v>43563</v>
      </c>
      <c r="C96" s="1" t="n">
        <v>45564</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19046-2019</t>
        </is>
      </c>
      <c r="B97" s="1" t="n">
        <v>43563</v>
      </c>
      <c r="C97" s="1" t="n">
        <v>45564</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20232-2019</t>
        </is>
      </c>
      <c r="B98" s="1" t="n">
        <v>43571</v>
      </c>
      <c r="C98" s="1" t="n">
        <v>45564</v>
      </c>
      <c r="D98" t="inlineStr">
        <is>
          <t>ÖREBRO LÄN</t>
        </is>
      </c>
      <c r="E98" t="inlineStr">
        <is>
          <t>ÖREBRO</t>
        </is>
      </c>
      <c r="G98" t="n">
        <v>1.1</v>
      </c>
      <c r="H98" t="n">
        <v>0</v>
      </c>
      <c r="I98" t="n">
        <v>0</v>
      </c>
      <c r="J98" t="n">
        <v>0</v>
      </c>
      <c r="K98" t="n">
        <v>0</v>
      </c>
      <c r="L98" t="n">
        <v>0</v>
      </c>
      <c r="M98" t="n">
        <v>0</v>
      </c>
      <c r="N98" t="n">
        <v>0</v>
      </c>
      <c r="O98" t="n">
        <v>0</v>
      </c>
      <c r="P98" t="n">
        <v>0</v>
      </c>
      <c r="Q98" t="n">
        <v>0</v>
      </c>
      <c r="R98" s="2" t="inlineStr"/>
    </row>
    <row r="99" ht="15" customHeight="1">
      <c r="A99" t="inlineStr">
        <is>
          <t>A 20609-2019</t>
        </is>
      </c>
      <c r="B99" s="1" t="n">
        <v>43572</v>
      </c>
      <c r="C99" s="1" t="n">
        <v>45564</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21722-2019</t>
        </is>
      </c>
      <c r="B100" s="1" t="n">
        <v>43581</v>
      </c>
      <c r="C100" s="1" t="n">
        <v>45564</v>
      </c>
      <c r="D100" t="inlineStr">
        <is>
          <t>ÖREBRO LÄN</t>
        </is>
      </c>
      <c r="E100" t="inlineStr">
        <is>
          <t>ÖREBRO</t>
        </is>
      </c>
      <c r="G100" t="n">
        <v>11.3</v>
      </c>
      <c r="H100" t="n">
        <v>0</v>
      </c>
      <c r="I100" t="n">
        <v>0</v>
      </c>
      <c r="J100" t="n">
        <v>0</v>
      </c>
      <c r="K100" t="n">
        <v>0</v>
      </c>
      <c r="L100" t="n">
        <v>0</v>
      </c>
      <c r="M100" t="n">
        <v>0</v>
      </c>
      <c r="N100" t="n">
        <v>0</v>
      </c>
      <c r="O100" t="n">
        <v>0</v>
      </c>
      <c r="P100" t="n">
        <v>0</v>
      </c>
      <c r="Q100" t="n">
        <v>0</v>
      </c>
      <c r="R100" s="2" t="inlineStr"/>
    </row>
    <row r="101" ht="15" customHeight="1">
      <c r="A101" t="inlineStr">
        <is>
          <t>A 21830-2019</t>
        </is>
      </c>
      <c r="B101" s="1" t="n">
        <v>43584</v>
      </c>
      <c r="C101" s="1" t="n">
        <v>45564</v>
      </c>
      <c r="D101" t="inlineStr">
        <is>
          <t>ÖREBRO LÄN</t>
        </is>
      </c>
      <c r="E101" t="inlineStr">
        <is>
          <t>ÖREBRO</t>
        </is>
      </c>
      <c r="G101" t="n">
        <v>1.6</v>
      </c>
      <c r="H101" t="n">
        <v>0</v>
      </c>
      <c r="I101" t="n">
        <v>0</v>
      </c>
      <c r="J101" t="n">
        <v>0</v>
      </c>
      <c r="K101" t="n">
        <v>0</v>
      </c>
      <c r="L101" t="n">
        <v>0</v>
      </c>
      <c r="M101" t="n">
        <v>0</v>
      </c>
      <c r="N101" t="n">
        <v>0</v>
      </c>
      <c r="O101" t="n">
        <v>0</v>
      </c>
      <c r="P101" t="n">
        <v>0</v>
      </c>
      <c r="Q101" t="n">
        <v>0</v>
      </c>
      <c r="R101" s="2" t="inlineStr"/>
    </row>
    <row r="102" ht="15" customHeight="1">
      <c r="A102" t="inlineStr">
        <is>
          <t>A 21835-2019</t>
        </is>
      </c>
      <c r="B102" s="1" t="n">
        <v>43584</v>
      </c>
      <c r="C102" s="1" t="n">
        <v>45564</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22243-2019</t>
        </is>
      </c>
      <c r="B103" s="1" t="n">
        <v>43585</v>
      </c>
      <c r="C103" s="1" t="n">
        <v>45564</v>
      </c>
      <c r="D103" t="inlineStr">
        <is>
          <t>ÖREBRO LÄN</t>
        </is>
      </c>
      <c r="E103" t="inlineStr">
        <is>
          <t>ÖREBRO</t>
        </is>
      </c>
      <c r="G103" t="n">
        <v>2.8</v>
      </c>
      <c r="H103" t="n">
        <v>0</v>
      </c>
      <c r="I103" t="n">
        <v>0</v>
      </c>
      <c r="J103" t="n">
        <v>0</v>
      </c>
      <c r="K103" t="n">
        <v>0</v>
      </c>
      <c r="L103" t="n">
        <v>0</v>
      </c>
      <c r="M103" t="n">
        <v>0</v>
      </c>
      <c r="N103" t="n">
        <v>0</v>
      </c>
      <c r="O103" t="n">
        <v>0</v>
      </c>
      <c r="P103" t="n">
        <v>0</v>
      </c>
      <c r="Q103" t="n">
        <v>0</v>
      </c>
      <c r="R103" s="2" t="inlineStr"/>
    </row>
    <row r="104" ht="15" customHeight="1">
      <c r="A104" t="inlineStr">
        <is>
          <t>A 23667-2019</t>
        </is>
      </c>
      <c r="B104" s="1" t="n">
        <v>43594</v>
      </c>
      <c r="C104" s="1" t="n">
        <v>45564</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24092-2019</t>
        </is>
      </c>
      <c r="B105" s="1" t="n">
        <v>43598</v>
      </c>
      <c r="C105" s="1" t="n">
        <v>45564</v>
      </c>
      <c r="D105" t="inlineStr">
        <is>
          <t>ÖREBRO LÄN</t>
        </is>
      </c>
      <c r="E105" t="inlineStr">
        <is>
          <t>ÖREBRO</t>
        </is>
      </c>
      <c r="G105" t="n">
        <v>3.9</v>
      </c>
      <c r="H105" t="n">
        <v>0</v>
      </c>
      <c r="I105" t="n">
        <v>0</v>
      </c>
      <c r="J105" t="n">
        <v>0</v>
      </c>
      <c r="K105" t="n">
        <v>0</v>
      </c>
      <c r="L105" t="n">
        <v>0</v>
      </c>
      <c r="M105" t="n">
        <v>0</v>
      </c>
      <c r="N105" t="n">
        <v>0</v>
      </c>
      <c r="O105" t="n">
        <v>0</v>
      </c>
      <c r="P105" t="n">
        <v>0</v>
      </c>
      <c r="Q105" t="n">
        <v>0</v>
      </c>
      <c r="R105" s="2" t="inlineStr"/>
    </row>
    <row r="106" ht="15" customHeight="1">
      <c r="A106" t="inlineStr">
        <is>
          <t>A 25186-2019</t>
        </is>
      </c>
      <c r="B106" s="1" t="n">
        <v>43605</v>
      </c>
      <c r="C106" s="1" t="n">
        <v>45564</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c r="U106">
        <f>HYPERLINK("https://klasma.github.io/Logging_1880/knärot/A 25186-2019 karta knärot.png", "A 25186-2019")</f>
        <v/>
      </c>
      <c r="V106">
        <f>HYPERLINK("https://klasma.github.io/Logging_1880/klagomål/A 25186-2019 FSC-klagomål.docx", "A 25186-2019")</f>
        <v/>
      </c>
      <c r="W106">
        <f>HYPERLINK("https://klasma.github.io/Logging_1880/klagomålsmail/A 25186-2019 FSC-klagomål mail.docx", "A 25186-2019")</f>
        <v/>
      </c>
      <c r="X106">
        <f>HYPERLINK("https://klasma.github.io/Logging_1880/tillsyn/A 25186-2019 tillsynsbegäran.docx", "A 25186-2019")</f>
        <v/>
      </c>
      <c r="Y106">
        <f>HYPERLINK("https://klasma.github.io/Logging_1880/tillsynsmail/A 25186-2019 tillsynsbegäran mail.docx", "A 25186-2019")</f>
        <v/>
      </c>
    </row>
    <row r="107" ht="15" customHeight="1">
      <c r="A107" t="inlineStr">
        <is>
          <t>A 26306-2019</t>
        </is>
      </c>
      <c r="B107" s="1" t="n">
        <v>43612</v>
      </c>
      <c r="C107" s="1" t="n">
        <v>45564</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28925-2019</t>
        </is>
      </c>
      <c r="B108" s="1" t="n">
        <v>43619</v>
      </c>
      <c r="C108" s="1" t="n">
        <v>45564</v>
      </c>
      <c r="D108" t="inlineStr">
        <is>
          <t>ÖREBRO LÄN</t>
        </is>
      </c>
      <c r="E108" t="inlineStr">
        <is>
          <t>ÖREBRO</t>
        </is>
      </c>
      <c r="F108" t="inlineStr">
        <is>
          <t>Övriga Aktiebolag</t>
        </is>
      </c>
      <c r="G108" t="n">
        <v>17.9</v>
      </c>
      <c r="H108" t="n">
        <v>0</v>
      </c>
      <c r="I108" t="n">
        <v>0</v>
      </c>
      <c r="J108" t="n">
        <v>0</v>
      </c>
      <c r="K108" t="n">
        <v>0</v>
      </c>
      <c r="L108" t="n">
        <v>0</v>
      </c>
      <c r="M108" t="n">
        <v>0</v>
      </c>
      <c r="N108" t="n">
        <v>0</v>
      </c>
      <c r="O108" t="n">
        <v>0</v>
      </c>
      <c r="P108" t="n">
        <v>0</v>
      </c>
      <c r="Q108" t="n">
        <v>0</v>
      </c>
      <c r="R108" s="2" t="inlineStr"/>
    </row>
    <row r="109" ht="15" customHeight="1">
      <c r="A109" t="inlineStr">
        <is>
          <t>A 28660-2019</t>
        </is>
      </c>
      <c r="B109" s="1" t="n">
        <v>43627</v>
      </c>
      <c r="C109" s="1" t="n">
        <v>45564</v>
      </c>
      <c r="D109" t="inlineStr">
        <is>
          <t>ÖREBRO LÄN</t>
        </is>
      </c>
      <c r="E109" t="inlineStr">
        <is>
          <t>ÖREBRO</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31300-2019</t>
        </is>
      </c>
      <c r="B110" s="1" t="n">
        <v>43641</v>
      </c>
      <c r="C110" s="1" t="n">
        <v>45564</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31982-2019</t>
        </is>
      </c>
      <c r="B111" s="1" t="n">
        <v>43642</v>
      </c>
      <c r="C111" s="1" t="n">
        <v>45564</v>
      </c>
      <c r="D111" t="inlineStr">
        <is>
          <t>ÖREBRO LÄN</t>
        </is>
      </c>
      <c r="E111" t="inlineStr">
        <is>
          <t>ÖREBRO</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32701-2019</t>
        </is>
      </c>
      <c r="B112" s="1" t="n">
        <v>43647</v>
      </c>
      <c r="C112" s="1" t="n">
        <v>45564</v>
      </c>
      <c r="D112" t="inlineStr">
        <is>
          <t>ÖREBRO LÄN</t>
        </is>
      </c>
      <c r="E112" t="inlineStr">
        <is>
          <t>ÖREBRO</t>
        </is>
      </c>
      <c r="F112" t="inlineStr">
        <is>
          <t>Övriga Aktiebolag</t>
        </is>
      </c>
      <c r="G112" t="n">
        <v>6.4</v>
      </c>
      <c r="H112" t="n">
        <v>0</v>
      </c>
      <c r="I112" t="n">
        <v>0</v>
      </c>
      <c r="J112" t="n">
        <v>0</v>
      </c>
      <c r="K112" t="n">
        <v>0</v>
      </c>
      <c r="L112" t="n">
        <v>0</v>
      </c>
      <c r="M112" t="n">
        <v>0</v>
      </c>
      <c r="N112" t="n">
        <v>0</v>
      </c>
      <c r="O112" t="n">
        <v>0</v>
      </c>
      <c r="P112" t="n">
        <v>0</v>
      </c>
      <c r="Q112" t="n">
        <v>0</v>
      </c>
      <c r="R112" s="2" t="inlineStr"/>
    </row>
    <row r="113" ht="15" customHeight="1">
      <c r="A113" t="inlineStr">
        <is>
          <t>A 32861-2019</t>
        </is>
      </c>
      <c r="B113" s="1" t="n">
        <v>43648</v>
      </c>
      <c r="C113" s="1" t="n">
        <v>45564</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33314-2019</t>
        </is>
      </c>
      <c r="B114" s="1" t="n">
        <v>43650</v>
      </c>
      <c r="C114" s="1" t="n">
        <v>45564</v>
      </c>
      <c r="D114" t="inlineStr">
        <is>
          <t>ÖREBRO LÄN</t>
        </is>
      </c>
      <c r="E114" t="inlineStr">
        <is>
          <t>ÖREBRO</t>
        </is>
      </c>
      <c r="G114" t="n">
        <v>3.6</v>
      </c>
      <c r="H114" t="n">
        <v>0</v>
      </c>
      <c r="I114" t="n">
        <v>0</v>
      </c>
      <c r="J114" t="n">
        <v>0</v>
      </c>
      <c r="K114" t="n">
        <v>0</v>
      </c>
      <c r="L114" t="n">
        <v>0</v>
      </c>
      <c r="M114" t="n">
        <v>0</v>
      </c>
      <c r="N114" t="n">
        <v>0</v>
      </c>
      <c r="O114" t="n">
        <v>0</v>
      </c>
      <c r="P114" t="n">
        <v>0</v>
      </c>
      <c r="Q114" t="n">
        <v>0</v>
      </c>
      <c r="R114" s="2" t="inlineStr"/>
    </row>
    <row r="115" ht="15" customHeight="1">
      <c r="A115" t="inlineStr">
        <is>
          <t>A 35557-2019</t>
        </is>
      </c>
      <c r="B115" s="1" t="n">
        <v>43654</v>
      </c>
      <c r="C115" s="1" t="n">
        <v>45564</v>
      </c>
      <c r="D115" t="inlineStr">
        <is>
          <t>ÖREBRO LÄN</t>
        </is>
      </c>
      <c r="E115" t="inlineStr">
        <is>
          <t>ÖREBRO</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35625-2019</t>
        </is>
      </c>
      <c r="B116" s="1" t="n">
        <v>43655</v>
      </c>
      <c r="C116" s="1" t="n">
        <v>45564</v>
      </c>
      <c r="D116" t="inlineStr">
        <is>
          <t>ÖREBRO LÄN</t>
        </is>
      </c>
      <c r="E116" t="inlineStr">
        <is>
          <t>ÖREBRO</t>
        </is>
      </c>
      <c r="G116" t="n">
        <v>10.2</v>
      </c>
      <c r="H116" t="n">
        <v>0</v>
      </c>
      <c r="I116" t="n">
        <v>0</v>
      </c>
      <c r="J116" t="n">
        <v>0</v>
      </c>
      <c r="K116" t="n">
        <v>0</v>
      </c>
      <c r="L116" t="n">
        <v>0</v>
      </c>
      <c r="M116" t="n">
        <v>0</v>
      </c>
      <c r="N116" t="n">
        <v>0</v>
      </c>
      <c r="O116" t="n">
        <v>0</v>
      </c>
      <c r="P116" t="n">
        <v>0</v>
      </c>
      <c r="Q116" t="n">
        <v>0</v>
      </c>
      <c r="R116" s="2" t="inlineStr"/>
    </row>
    <row r="117" ht="15" customHeight="1">
      <c r="A117" t="inlineStr">
        <is>
          <t>A 35588-2019</t>
        </is>
      </c>
      <c r="B117" s="1" t="n">
        <v>43655</v>
      </c>
      <c r="C117" s="1" t="n">
        <v>45564</v>
      </c>
      <c r="D117" t="inlineStr">
        <is>
          <t>ÖREBRO LÄN</t>
        </is>
      </c>
      <c r="E117" t="inlineStr">
        <is>
          <t>ÖREBRO</t>
        </is>
      </c>
      <c r="G117" t="n">
        <v>4.6</v>
      </c>
      <c r="H117" t="n">
        <v>0</v>
      </c>
      <c r="I117" t="n">
        <v>0</v>
      </c>
      <c r="J117" t="n">
        <v>0</v>
      </c>
      <c r="K117" t="n">
        <v>0</v>
      </c>
      <c r="L117" t="n">
        <v>0</v>
      </c>
      <c r="M117" t="n">
        <v>0</v>
      </c>
      <c r="N117" t="n">
        <v>0</v>
      </c>
      <c r="O117" t="n">
        <v>0</v>
      </c>
      <c r="P117" t="n">
        <v>0</v>
      </c>
      <c r="Q117" t="n">
        <v>0</v>
      </c>
      <c r="R117" s="2" t="inlineStr"/>
    </row>
    <row r="118" ht="15" customHeight="1">
      <c r="A118" t="inlineStr">
        <is>
          <t>A 34895-2019</t>
        </is>
      </c>
      <c r="B118" s="1" t="n">
        <v>43658</v>
      </c>
      <c r="C118" s="1" t="n">
        <v>45564</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34965-2019</t>
        </is>
      </c>
      <c r="B119" s="1" t="n">
        <v>43658</v>
      </c>
      <c r="C119" s="1" t="n">
        <v>45564</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35846-2019</t>
        </is>
      </c>
      <c r="B120" s="1" t="n">
        <v>43665</v>
      </c>
      <c r="C120" s="1" t="n">
        <v>45564</v>
      </c>
      <c r="D120" t="inlineStr">
        <is>
          <t>ÖREBRO LÄN</t>
        </is>
      </c>
      <c r="E120" t="inlineStr">
        <is>
          <t>ÖREBRO</t>
        </is>
      </c>
      <c r="G120" t="n">
        <v>5</v>
      </c>
      <c r="H120" t="n">
        <v>0</v>
      </c>
      <c r="I120" t="n">
        <v>0</v>
      </c>
      <c r="J120" t="n">
        <v>0</v>
      </c>
      <c r="K120" t="n">
        <v>0</v>
      </c>
      <c r="L120" t="n">
        <v>0</v>
      </c>
      <c r="M120" t="n">
        <v>0</v>
      </c>
      <c r="N120" t="n">
        <v>0</v>
      </c>
      <c r="O120" t="n">
        <v>0</v>
      </c>
      <c r="P120" t="n">
        <v>0</v>
      </c>
      <c r="Q120" t="n">
        <v>0</v>
      </c>
      <c r="R120" s="2" t="inlineStr"/>
    </row>
    <row r="121" ht="15" customHeight="1">
      <c r="A121" t="inlineStr">
        <is>
          <t>A 36124-2019</t>
        </is>
      </c>
      <c r="B121" s="1" t="n">
        <v>43665</v>
      </c>
      <c r="C121" s="1" t="n">
        <v>45564</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36282-2019</t>
        </is>
      </c>
      <c r="B122" s="1" t="n">
        <v>43669</v>
      </c>
      <c r="C122" s="1" t="n">
        <v>45564</v>
      </c>
      <c r="D122" t="inlineStr">
        <is>
          <t>ÖREBRO LÄN</t>
        </is>
      </c>
      <c r="E122" t="inlineStr">
        <is>
          <t>ÖREBRO</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36283-2019</t>
        </is>
      </c>
      <c r="B123" s="1" t="n">
        <v>43669</v>
      </c>
      <c r="C123" s="1" t="n">
        <v>45564</v>
      </c>
      <c r="D123" t="inlineStr">
        <is>
          <t>ÖREBRO LÄN</t>
        </is>
      </c>
      <c r="E123" t="inlineStr">
        <is>
          <t>ÖREBRO</t>
        </is>
      </c>
      <c r="G123" t="n">
        <v>3.2</v>
      </c>
      <c r="H123" t="n">
        <v>0</v>
      </c>
      <c r="I123" t="n">
        <v>0</v>
      </c>
      <c r="J123" t="n">
        <v>0</v>
      </c>
      <c r="K123" t="n">
        <v>0</v>
      </c>
      <c r="L123" t="n">
        <v>0</v>
      </c>
      <c r="M123" t="n">
        <v>0</v>
      </c>
      <c r="N123" t="n">
        <v>0</v>
      </c>
      <c r="O123" t="n">
        <v>0</v>
      </c>
      <c r="P123" t="n">
        <v>0</v>
      </c>
      <c r="Q123" t="n">
        <v>0</v>
      </c>
      <c r="R123" s="2" t="inlineStr"/>
    </row>
    <row r="124" ht="15" customHeight="1">
      <c r="A124" t="inlineStr">
        <is>
          <t>A 36284-2019</t>
        </is>
      </c>
      <c r="B124" s="1" t="n">
        <v>43669</v>
      </c>
      <c r="C124" s="1" t="n">
        <v>45564</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36990-2019</t>
        </is>
      </c>
      <c r="B125" s="1" t="n">
        <v>43676</v>
      </c>
      <c r="C125" s="1" t="n">
        <v>45564</v>
      </c>
      <c r="D125" t="inlineStr">
        <is>
          <t>ÖREBRO LÄN</t>
        </is>
      </c>
      <c r="E125" t="inlineStr">
        <is>
          <t>ÖREBRO</t>
        </is>
      </c>
      <c r="G125" t="n">
        <v>5.1</v>
      </c>
      <c r="H125" t="n">
        <v>0</v>
      </c>
      <c r="I125" t="n">
        <v>0</v>
      </c>
      <c r="J125" t="n">
        <v>0</v>
      </c>
      <c r="K125" t="n">
        <v>0</v>
      </c>
      <c r="L125" t="n">
        <v>0</v>
      </c>
      <c r="M125" t="n">
        <v>0</v>
      </c>
      <c r="N125" t="n">
        <v>0</v>
      </c>
      <c r="O125" t="n">
        <v>0</v>
      </c>
      <c r="P125" t="n">
        <v>0</v>
      </c>
      <c r="Q125" t="n">
        <v>0</v>
      </c>
      <c r="R125" s="2" t="inlineStr"/>
    </row>
    <row r="126" ht="15" customHeight="1">
      <c r="A126" t="inlineStr">
        <is>
          <t>A 37254-2019</t>
        </is>
      </c>
      <c r="B126" s="1" t="n">
        <v>43677</v>
      </c>
      <c r="C126" s="1" t="n">
        <v>45564</v>
      </c>
      <c r="D126" t="inlineStr">
        <is>
          <t>ÖREBRO LÄN</t>
        </is>
      </c>
      <c r="E126" t="inlineStr">
        <is>
          <t>ÖREBRO</t>
        </is>
      </c>
      <c r="G126" t="n">
        <v>10.3</v>
      </c>
      <c r="H126" t="n">
        <v>0</v>
      </c>
      <c r="I126" t="n">
        <v>0</v>
      </c>
      <c r="J126" t="n">
        <v>0</v>
      </c>
      <c r="K126" t="n">
        <v>0</v>
      </c>
      <c r="L126" t="n">
        <v>0</v>
      </c>
      <c r="M126" t="n">
        <v>0</v>
      </c>
      <c r="N126" t="n">
        <v>0</v>
      </c>
      <c r="O126" t="n">
        <v>0</v>
      </c>
      <c r="P126" t="n">
        <v>0</v>
      </c>
      <c r="Q126" t="n">
        <v>0</v>
      </c>
      <c r="R126" s="2" t="inlineStr"/>
    </row>
    <row r="127" ht="15" customHeight="1">
      <c r="A127" t="inlineStr">
        <is>
          <t>A 37258-2019</t>
        </is>
      </c>
      <c r="B127" s="1" t="n">
        <v>43677</v>
      </c>
      <c r="C127" s="1" t="n">
        <v>45564</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37278-2019</t>
        </is>
      </c>
      <c r="B128" s="1" t="n">
        <v>43677</v>
      </c>
      <c r="C128" s="1" t="n">
        <v>45564</v>
      </c>
      <c r="D128" t="inlineStr">
        <is>
          <t>ÖREBRO LÄN</t>
        </is>
      </c>
      <c r="E128" t="inlineStr">
        <is>
          <t>ÖREBRO</t>
        </is>
      </c>
      <c r="G128" t="n">
        <v>7.9</v>
      </c>
      <c r="H128" t="n">
        <v>0</v>
      </c>
      <c r="I128" t="n">
        <v>0</v>
      </c>
      <c r="J128" t="n">
        <v>0</v>
      </c>
      <c r="K128" t="n">
        <v>0</v>
      </c>
      <c r="L128" t="n">
        <v>0</v>
      </c>
      <c r="M128" t="n">
        <v>0</v>
      </c>
      <c r="N128" t="n">
        <v>0</v>
      </c>
      <c r="O128" t="n">
        <v>0</v>
      </c>
      <c r="P128" t="n">
        <v>0</v>
      </c>
      <c r="Q128" t="n">
        <v>0</v>
      </c>
      <c r="R128" s="2" t="inlineStr"/>
    </row>
    <row r="129" ht="15" customHeight="1">
      <c r="A129" t="inlineStr">
        <is>
          <t>A 37930-2019</t>
        </is>
      </c>
      <c r="B129" s="1" t="n">
        <v>43683</v>
      </c>
      <c r="C129" s="1" t="n">
        <v>45564</v>
      </c>
      <c r="D129" t="inlineStr">
        <is>
          <t>ÖREBRO LÄN</t>
        </is>
      </c>
      <c r="E129" t="inlineStr">
        <is>
          <t>ÖREBRO</t>
        </is>
      </c>
      <c r="G129" t="n">
        <v>4.8</v>
      </c>
      <c r="H129" t="n">
        <v>0</v>
      </c>
      <c r="I129" t="n">
        <v>0</v>
      </c>
      <c r="J129" t="n">
        <v>0</v>
      </c>
      <c r="K129" t="n">
        <v>0</v>
      </c>
      <c r="L129" t="n">
        <v>0</v>
      </c>
      <c r="M129" t="n">
        <v>0</v>
      </c>
      <c r="N129" t="n">
        <v>0</v>
      </c>
      <c r="O129" t="n">
        <v>0</v>
      </c>
      <c r="P129" t="n">
        <v>0</v>
      </c>
      <c r="Q129" t="n">
        <v>0</v>
      </c>
      <c r="R129" s="2" t="inlineStr"/>
    </row>
    <row r="130" ht="15" customHeight="1">
      <c r="A130" t="inlineStr">
        <is>
          <t>A 38372-2019</t>
        </is>
      </c>
      <c r="B130" s="1" t="n">
        <v>43683</v>
      </c>
      <c r="C130" s="1" t="n">
        <v>45564</v>
      </c>
      <c r="D130" t="inlineStr">
        <is>
          <t>ÖREBRO LÄN</t>
        </is>
      </c>
      <c r="E130" t="inlineStr">
        <is>
          <t>ÖREBRO</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38389-2019</t>
        </is>
      </c>
      <c r="B131" s="1" t="n">
        <v>43685</v>
      </c>
      <c r="C131" s="1" t="n">
        <v>45564</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38885-2019</t>
        </is>
      </c>
      <c r="B132" s="1" t="n">
        <v>43686</v>
      </c>
      <c r="C132" s="1" t="n">
        <v>45564</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38923-2019</t>
        </is>
      </c>
      <c r="B133" s="1" t="n">
        <v>43689</v>
      </c>
      <c r="C133" s="1" t="n">
        <v>45564</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38846-2019</t>
        </is>
      </c>
      <c r="B134" s="1" t="n">
        <v>43689</v>
      </c>
      <c r="C134" s="1" t="n">
        <v>45564</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39303-2019</t>
        </is>
      </c>
      <c r="B135" s="1" t="n">
        <v>43690</v>
      </c>
      <c r="C135" s="1" t="n">
        <v>45564</v>
      </c>
      <c r="D135" t="inlineStr">
        <is>
          <t>ÖREBRO LÄN</t>
        </is>
      </c>
      <c r="E135" t="inlineStr">
        <is>
          <t>ÖREBRO</t>
        </is>
      </c>
      <c r="G135" t="n">
        <v>1.9</v>
      </c>
      <c r="H135" t="n">
        <v>0</v>
      </c>
      <c r="I135" t="n">
        <v>0</v>
      </c>
      <c r="J135" t="n">
        <v>0</v>
      </c>
      <c r="K135" t="n">
        <v>0</v>
      </c>
      <c r="L135" t="n">
        <v>0</v>
      </c>
      <c r="M135" t="n">
        <v>0</v>
      </c>
      <c r="N135" t="n">
        <v>0</v>
      </c>
      <c r="O135" t="n">
        <v>0</v>
      </c>
      <c r="P135" t="n">
        <v>0</v>
      </c>
      <c r="Q135" t="n">
        <v>0</v>
      </c>
      <c r="R135" s="2" t="inlineStr"/>
    </row>
    <row r="136" ht="15" customHeight="1">
      <c r="A136" t="inlineStr">
        <is>
          <t>A 39576-2019</t>
        </is>
      </c>
      <c r="B136" s="1" t="n">
        <v>43691</v>
      </c>
      <c r="C136" s="1" t="n">
        <v>45564</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39714-2019</t>
        </is>
      </c>
      <c r="B137" s="1" t="n">
        <v>43691</v>
      </c>
      <c r="C137" s="1" t="n">
        <v>45564</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40694-2019</t>
        </is>
      </c>
      <c r="B138" s="1" t="n">
        <v>43691</v>
      </c>
      <c r="C138" s="1" t="n">
        <v>45564</v>
      </c>
      <c r="D138" t="inlineStr">
        <is>
          <t>ÖREBRO LÄN</t>
        </is>
      </c>
      <c r="E138" t="inlineStr">
        <is>
          <t>ÖREBRO</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40556-2019</t>
        </is>
      </c>
      <c r="B139" s="1" t="n">
        <v>43691</v>
      </c>
      <c r="C139" s="1" t="n">
        <v>45564</v>
      </c>
      <c r="D139" t="inlineStr">
        <is>
          <t>ÖREBRO LÄN</t>
        </is>
      </c>
      <c r="E139" t="inlineStr">
        <is>
          <t>ÖREBRO</t>
        </is>
      </c>
      <c r="G139" t="n">
        <v>6.5</v>
      </c>
      <c r="H139" t="n">
        <v>0</v>
      </c>
      <c r="I139" t="n">
        <v>0</v>
      </c>
      <c r="J139" t="n">
        <v>0</v>
      </c>
      <c r="K139" t="n">
        <v>0</v>
      </c>
      <c r="L139" t="n">
        <v>0</v>
      </c>
      <c r="M139" t="n">
        <v>0</v>
      </c>
      <c r="N139" t="n">
        <v>0</v>
      </c>
      <c r="O139" t="n">
        <v>0</v>
      </c>
      <c r="P139" t="n">
        <v>0</v>
      </c>
      <c r="Q139" t="n">
        <v>0</v>
      </c>
      <c r="R139" s="2" t="inlineStr"/>
    </row>
    <row r="140" ht="15" customHeight="1">
      <c r="A140" t="inlineStr">
        <is>
          <t>A 41063-2019</t>
        </is>
      </c>
      <c r="B140" s="1" t="n">
        <v>43698</v>
      </c>
      <c r="C140" s="1" t="n">
        <v>45564</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44039-2019</t>
        </is>
      </c>
      <c r="B141" s="1" t="n">
        <v>43704</v>
      </c>
      <c r="C141" s="1" t="n">
        <v>45564</v>
      </c>
      <c r="D141" t="inlineStr">
        <is>
          <t>ÖREBRO LÄN</t>
        </is>
      </c>
      <c r="E141" t="inlineStr">
        <is>
          <t>ÖREBRO</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43692-2019</t>
        </is>
      </c>
      <c r="B142" s="1" t="n">
        <v>43704</v>
      </c>
      <c r="C142" s="1" t="n">
        <v>45564</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44034-2019</t>
        </is>
      </c>
      <c r="B143" s="1" t="n">
        <v>43704</v>
      </c>
      <c r="C143" s="1" t="n">
        <v>45564</v>
      </c>
      <c r="D143" t="inlineStr">
        <is>
          <t>ÖREBRO LÄN</t>
        </is>
      </c>
      <c r="E143" t="inlineStr">
        <is>
          <t>ÖREBRO</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44152-2019</t>
        </is>
      </c>
      <c r="B144" s="1" t="n">
        <v>43704</v>
      </c>
      <c r="C144" s="1" t="n">
        <v>45564</v>
      </c>
      <c r="D144" t="inlineStr">
        <is>
          <t>ÖREBRO LÄN</t>
        </is>
      </c>
      <c r="E144" t="inlineStr">
        <is>
          <t>ÖREBRO</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43632-2019</t>
        </is>
      </c>
      <c r="B145" s="1" t="n">
        <v>43704</v>
      </c>
      <c r="C145" s="1" t="n">
        <v>45564</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43007-2019</t>
        </is>
      </c>
      <c r="B146" s="1" t="n">
        <v>43705</v>
      </c>
      <c r="C146" s="1" t="n">
        <v>45564</v>
      </c>
      <c r="D146" t="inlineStr">
        <is>
          <t>ÖREBRO LÄN</t>
        </is>
      </c>
      <c r="E146" t="inlineStr">
        <is>
          <t>ÖREBRO</t>
        </is>
      </c>
      <c r="G146" t="n">
        <v>7.5</v>
      </c>
      <c r="H146" t="n">
        <v>0</v>
      </c>
      <c r="I146" t="n">
        <v>0</v>
      </c>
      <c r="J146" t="n">
        <v>0</v>
      </c>
      <c r="K146" t="n">
        <v>0</v>
      </c>
      <c r="L146" t="n">
        <v>0</v>
      </c>
      <c r="M146" t="n">
        <v>0</v>
      </c>
      <c r="N146" t="n">
        <v>0</v>
      </c>
      <c r="O146" t="n">
        <v>0</v>
      </c>
      <c r="P146" t="n">
        <v>0</v>
      </c>
      <c r="Q146" t="n">
        <v>0</v>
      </c>
      <c r="R146" s="2" t="inlineStr"/>
    </row>
    <row r="147" ht="15" customHeight="1">
      <c r="A147" t="inlineStr">
        <is>
          <t>A 44153-2019</t>
        </is>
      </c>
      <c r="B147" s="1" t="n">
        <v>43710</v>
      </c>
      <c r="C147" s="1" t="n">
        <v>45564</v>
      </c>
      <c r="D147" t="inlineStr">
        <is>
          <t>ÖREBRO LÄN</t>
        </is>
      </c>
      <c r="E147" t="inlineStr">
        <is>
          <t>ÖREBRO</t>
        </is>
      </c>
      <c r="G147" t="n">
        <v>5.5</v>
      </c>
      <c r="H147" t="n">
        <v>0</v>
      </c>
      <c r="I147" t="n">
        <v>0</v>
      </c>
      <c r="J147" t="n">
        <v>0</v>
      </c>
      <c r="K147" t="n">
        <v>0</v>
      </c>
      <c r="L147" t="n">
        <v>0</v>
      </c>
      <c r="M147" t="n">
        <v>0</v>
      </c>
      <c r="N147" t="n">
        <v>0</v>
      </c>
      <c r="O147" t="n">
        <v>0</v>
      </c>
      <c r="P147" t="n">
        <v>0</v>
      </c>
      <c r="Q147" t="n">
        <v>0</v>
      </c>
      <c r="R147" s="2" t="inlineStr"/>
    </row>
    <row r="148" ht="15" customHeight="1">
      <c r="A148" t="inlineStr">
        <is>
          <t>A 44280-2019</t>
        </is>
      </c>
      <c r="B148" s="1" t="n">
        <v>43710</v>
      </c>
      <c r="C148" s="1" t="n">
        <v>45564</v>
      </c>
      <c r="D148" t="inlineStr">
        <is>
          <t>ÖREBRO LÄN</t>
        </is>
      </c>
      <c r="E148" t="inlineStr">
        <is>
          <t>ÖREBRO</t>
        </is>
      </c>
      <c r="G148" t="n">
        <v>0.8</v>
      </c>
      <c r="H148" t="n">
        <v>0</v>
      </c>
      <c r="I148" t="n">
        <v>0</v>
      </c>
      <c r="J148" t="n">
        <v>0</v>
      </c>
      <c r="K148" t="n">
        <v>0</v>
      </c>
      <c r="L148" t="n">
        <v>0</v>
      </c>
      <c r="M148" t="n">
        <v>0</v>
      </c>
      <c r="N148" t="n">
        <v>0</v>
      </c>
      <c r="O148" t="n">
        <v>0</v>
      </c>
      <c r="P148" t="n">
        <v>0</v>
      </c>
      <c r="Q148" t="n">
        <v>0</v>
      </c>
      <c r="R148" s="2" t="inlineStr"/>
    </row>
    <row r="149" ht="15" customHeight="1">
      <c r="A149" t="inlineStr">
        <is>
          <t>A 44277-2019</t>
        </is>
      </c>
      <c r="B149" s="1" t="n">
        <v>43710</v>
      </c>
      <c r="C149" s="1" t="n">
        <v>45564</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45309-2019</t>
        </is>
      </c>
      <c r="B150" s="1" t="n">
        <v>43710</v>
      </c>
      <c r="C150" s="1" t="n">
        <v>45564</v>
      </c>
      <c r="D150" t="inlineStr">
        <is>
          <t>ÖREBRO LÄN</t>
        </is>
      </c>
      <c r="E150" t="inlineStr">
        <is>
          <t>ÖREBRO</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44278-2019</t>
        </is>
      </c>
      <c r="B151" s="1" t="n">
        <v>43710</v>
      </c>
      <c r="C151" s="1" t="n">
        <v>45564</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45311-2019</t>
        </is>
      </c>
      <c r="B152" s="1" t="n">
        <v>43710</v>
      </c>
      <c r="C152" s="1" t="n">
        <v>45564</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44948-2019</t>
        </is>
      </c>
      <c r="B153" s="1" t="n">
        <v>43713</v>
      </c>
      <c r="C153" s="1" t="n">
        <v>45564</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45418-2019</t>
        </is>
      </c>
      <c r="B154" s="1" t="n">
        <v>43714</v>
      </c>
      <c r="C154" s="1" t="n">
        <v>45564</v>
      </c>
      <c r="D154" t="inlineStr">
        <is>
          <t>ÖREBRO LÄN</t>
        </is>
      </c>
      <c r="E154" t="inlineStr">
        <is>
          <t>ÖREBRO</t>
        </is>
      </c>
      <c r="G154" t="n">
        <v>9</v>
      </c>
      <c r="H154" t="n">
        <v>0</v>
      </c>
      <c r="I154" t="n">
        <v>0</v>
      </c>
      <c r="J154" t="n">
        <v>0</v>
      </c>
      <c r="K154" t="n">
        <v>0</v>
      </c>
      <c r="L154" t="n">
        <v>0</v>
      </c>
      <c r="M154" t="n">
        <v>0</v>
      </c>
      <c r="N154" t="n">
        <v>0</v>
      </c>
      <c r="O154" t="n">
        <v>0</v>
      </c>
      <c r="P154" t="n">
        <v>0</v>
      </c>
      <c r="Q154" t="n">
        <v>0</v>
      </c>
      <c r="R154" s="2" t="inlineStr"/>
    </row>
    <row r="155" ht="15" customHeight="1">
      <c r="A155" t="inlineStr">
        <is>
          <t>A 45420-2019</t>
        </is>
      </c>
      <c r="B155" s="1" t="n">
        <v>43714</v>
      </c>
      <c r="C155" s="1" t="n">
        <v>45564</v>
      </c>
      <c r="D155" t="inlineStr">
        <is>
          <t>ÖREBRO LÄN</t>
        </is>
      </c>
      <c r="E155" t="inlineStr">
        <is>
          <t>ÖREBRO</t>
        </is>
      </c>
      <c r="G155" t="n">
        <v>4.2</v>
      </c>
      <c r="H155" t="n">
        <v>0</v>
      </c>
      <c r="I155" t="n">
        <v>0</v>
      </c>
      <c r="J155" t="n">
        <v>0</v>
      </c>
      <c r="K155" t="n">
        <v>0</v>
      </c>
      <c r="L155" t="n">
        <v>0</v>
      </c>
      <c r="M155" t="n">
        <v>0</v>
      </c>
      <c r="N155" t="n">
        <v>0</v>
      </c>
      <c r="O155" t="n">
        <v>0</v>
      </c>
      <c r="P155" t="n">
        <v>0</v>
      </c>
      <c r="Q155" t="n">
        <v>0</v>
      </c>
      <c r="R155" s="2" t="inlineStr"/>
    </row>
    <row r="156" ht="15" customHeight="1">
      <c r="A156" t="inlineStr">
        <is>
          <t>A 45686-2019</t>
        </is>
      </c>
      <c r="B156" s="1" t="n">
        <v>43714</v>
      </c>
      <c r="C156" s="1" t="n">
        <v>45564</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46552-2019</t>
        </is>
      </c>
      <c r="B157" s="1" t="n">
        <v>43719</v>
      </c>
      <c r="C157" s="1" t="n">
        <v>45564</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46900-2019</t>
        </is>
      </c>
      <c r="B158" s="1" t="n">
        <v>43719</v>
      </c>
      <c r="C158" s="1" t="n">
        <v>45564</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49926-2019</t>
        </is>
      </c>
      <c r="B159" s="1" t="n">
        <v>43733</v>
      </c>
      <c r="C159" s="1" t="n">
        <v>45564</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50074-2019</t>
        </is>
      </c>
      <c r="B160" s="1" t="n">
        <v>43734</v>
      </c>
      <c r="C160" s="1" t="n">
        <v>45564</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50080-2019</t>
        </is>
      </c>
      <c r="B161" s="1" t="n">
        <v>43734</v>
      </c>
      <c r="C161" s="1" t="n">
        <v>45564</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50148-2019</t>
        </is>
      </c>
      <c r="B162" s="1" t="n">
        <v>43734</v>
      </c>
      <c r="C162" s="1" t="n">
        <v>45564</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50366-2019</t>
        </is>
      </c>
      <c r="B163" s="1" t="n">
        <v>43735</v>
      </c>
      <c r="C163" s="1" t="n">
        <v>45564</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50321-2019</t>
        </is>
      </c>
      <c r="B164" s="1" t="n">
        <v>43735</v>
      </c>
      <c r="C164" s="1" t="n">
        <v>45564</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52705-2019</t>
        </is>
      </c>
      <c r="B165" s="1" t="n">
        <v>43739</v>
      </c>
      <c r="C165" s="1" t="n">
        <v>45564</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51808-2019</t>
        </is>
      </c>
      <c r="B166" s="1" t="n">
        <v>43741</v>
      </c>
      <c r="C166" s="1" t="n">
        <v>45564</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54181-2019</t>
        </is>
      </c>
      <c r="B167" s="1" t="n">
        <v>43745</v>
      </c>
      <c r="C167" s="1" t="n">
        <v>45564</v>
      </c>
      <c r="D167" t="inlineStr">
        <is>
          <t>ÖREBRO LÄN</t>
        </is>
      </c>
      <c r="E167" t="inlineStr">
        <is>
          <t>ÖREBRO</t>
        </is>
      </c>
      <c r="F167" t="inlineStr">
        <is>
          <t>Övriga Aktiebolag</t>
        </is>
      </c>
      <c r="G167" t="n">
        <v>7.6</v>
      </c>
      <c r="H167" t="n">
        <v>0</v>
      </c>
      <c r="I167" t="n">
        <v>0</v>
      </c>
      <c r="J167" t="n">
        <v>0</v>
      </c>
      <c r="K167" t="n">
        <v>0</v>
      </c>
      <c r="L167" t="n">
        <v>0</v>
      </c>
      <c r="M167" t="n">
        <v>0</v>
      </c>
      <c r="N167" t="n">
        <v>0</v>
      </c>
      <c r="O167" t="n">
        <v>0</v>
      </c>
      <c r="P167" t="n">
        <v>0</v>
      </c>
      <c r="Q167" t="n">
        <v>0</v>
      </c>
      <c r="R167" s="2" t="inlineStr"/>
    </row>
    <row r="168" ht="15" customHeight="1">
      <c r="A168" t="inlineStr">
        <is>
          <t>A 53446-2019</t>
        </is>
      </c>
      <c r="B168" s="1" t="n">
        <v>43748</v>
      </c>
      <c r="C168" s="1" t="n">
        <v>45564</v>
      </c>
      <c r="D168" t="inlineStr">
        <is>
          <t>ÖREBRO LÄN</t>
        </is>
      </c>
      <c r="E168" t="inlineStr">
        <is>
          <t>ÖREBRO</t>
        </is>
      </c>
      <c r="G168" t="n">
        <v>4.1</v>
      </c>
      <c r="H168" t="n">
        <v>0</v>
      </c>
      <c r="I168" t="n">
        <v>0</v>
      </c>
      <c r="J168" t="n">
        <v>0</v>
      </c>
      <c r="K168" t="n">
        <v>0</v>
      </c>
      <c r="L168" t="n">
        <v>0</v>
      </c>
      <c r="M168" t="n">
        <v>0</v>
      </c>
      <c r="N168" t="n">
        <v>0</v>
      </c>
      <c r="O168" t="n">
        <v>0</v>
      </c>
      <c r="P168" t="n">
        <v>0</v>
      </c>
      <c r="Q168" t="n">
        <v>0</v>
      </c>
      <c r="R168" s="2" t="inlineStr"/>
    </row>
    <row r="169" ht="15" customHeight="1">
      <c r="A169" t="inlineStr">
        <is>
          <t>A 54912-2019</t>
        </is>
      </c>
      <c r="B169" s="1" t="n">
        <v>43755</v>
      </c>
      <c r="C169" s="1" t="n">
        <v>45564</v>
      </c>
      <c r="D169" t="inlineStr">
        <is>
          <t>ÖREBRO LÄN</t>
        </is>
      </c>
      <c r="E169" t="inlineStr">
        <is>
          <t>ÖREBRO</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57706-2019</t>
        </is>
      </c>
      <c r="B170" s="1" t="n">
        <v>43761</v>
      </c>
      <c r="C170" s="1" t="n">
        <v>45564</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56963-2019</t>
        </is>
      </c>
      <c r="B171" s="1" t="n">
        <v>43766</v>
      </c>
      <c r="C171" s="1" t="n">
        <v>45564</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57673-2019</t>
        </is>
      </c>
      <c r="B172" s="1" t="n">
        <v>43768</v>
      </c>
      <c r="C172" s="1" t="n">
        <v>45564</v>
      </c>
      <c r="D172" t="inlineStr">
        <is>
          <t>ÖREBRO LÄN</t>
        </is>
      </c>
      <c r="E172" t="inlineStr">
        <is>
          <t>ÖREBRO</t>
        </is>
      </c>
      <c r="G172" t="n">
        <v>2.2</v>
      </c>
      <c r="H172" t="n">
        <v>0</v>
      </c>
      <c r="I172" t="n">
        <v>0</v>
      </c>
      <c r="J172" t="n">
        <v>0</v>
      </c>
      <c r="K172" t="n">
        <v>0</v>
      </c>
      <c r="L172" t="n">
        <v>0</v>
      </c>
      <c r="M172" t="n">
        <v>0</v>
      </c>
      <c r="N172" t="n">
        <v>0</v>
      </c>
      <c r="O172" t="n">
        <v>0</v>
      </c>
      <c r="P172" t="n">
        <v>0</v>
      </c>
      <c r="Q172" t="n">
        <v>0</v>
      </c>
      <c r="R172" s="2" t="inlineStr"/>
    </row>
    <row r="173" ht="15" customHeight="1">
      <c r="A173" t="inlineStr">
        <is>
          <t>A 58955-2019</t>
        </is>
      </c>
      <c r="B173" s="1" t="n">
        <v>43774</v>
      </c>
      <c r="C173" s="1" t="n">
        <v>45564</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59109-2019</t>
        </is>
      </c>
      <c r="B174" s="1" t="n">
        <v>43775</v>
      </c>
      <c r="C174" s="1" t="n">
        <v>45564</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59582-2019</t>
        </is>
      </c>
      <c r="B175" s="1" t="n">
        <v>43776</v>
      </c>
      <c r="C175" s="1" t="n">
        <v>45564</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60960-2019</t>
        </is>
      </c>
      <c r="B176" s="1" t="n">
        <v>43782</v>
      </c>
      <c r="C176" s="1" t="n">
        <v>45564</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61408-2019</t>
        </is>
      </c>
      <c r="B177" s="1" t="n">
        <v>43783</v>
      </c>
      <c r="C177" s="1" t="n">
        <v>45564</v>
      </c>
      <c r="D177" t="inlineStr">
        <is>
          <t>ÖREBRO LÄN</t>
        </is>
      </c>
      <c r="E177" t="inlineStr">
        <is>
          <t>ÖREBRO</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61669-2019</t>
        </is>
      </c>
      <c r="B178" s="1" t="n">
        <v>43783</v>
      </c>
      <c r="C178" s="1" t="n">
        <v>45564</v>
      </c>
      <c r="D178" t="inlineStr">
        <is>
          <t>ÖREBRO LÄN</t>
        </is>
      </c>
      <c r="E178" t="inlineStr">
        <is>
          <t>ÖREBRO</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61552-2019</t>
        </is>
      </c>
      <c r="B179" s="1" t="n">
        <v>43784</v>
      </c>
      <c r="C179" s="1" t="n">
        <v>45564</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61812-2019</t>
        </is>
      </c>
      <c r="B180" s="1" t="n">
        <v>43786</v>
      </c>
      <c r="C180" s="1" t="n">
        <v>45564</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62131-2019</t>
        </is>
      </c>
      <c r="B181" s="1" t="n">
        <v>43787</v>
      </c>
      <c r="C181" s="1" t="n">
        <v>45564</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63970-2019</t>
        </is>
      </c>
      <c r="B182" s="1" t="n">
        <v>43790</v>
      </c>
      <c r="C182" s="1" t="n">
        <v>45564</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63722-2019</t>
        </is>
      </c>
      <c r="B183" s="1" t="n">
        <v>43790</v>
      </c>
      <c r="C183" s="1" t="n">
        <v>45564</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63310-2019</t>
        </is>
      </c>
      <c r="B184" s="1" t="n">
        <v>43794</v>
      </c>
      <c r="C184" s="1" t="n">
        <v>45564</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64095-2019</t>
        </is>
      </c>
      <c r="B185" s="1" t="n">
        <v>43796</v>
      </c>
      <c r="C185" s="1" t="n">
        <v>45564</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64384-2019</t>
        </is>
      </c>
      <c r="B186" s="1" t="n">
        <v>43797</v>
      </c>
      <c r="C186" s="1" t="n">
        <v>45564</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65014-2019</t>
        </is>
      </c>
      <c r="B187" s="1" t="n">
        <v>43801</v>
      </c>
      <c r="C187" s="1" t="n">
        <v>45564</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64984-2019</t>
        </is>
      </c>
      <c r="B188" s="1" t="n">
        <v>43801</v>
      </c>
      <c r="C188" s="1" t="n">
        <v>45564</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65011-2019</t>
        </is>
      </c>
      <c r="B189" s="1" t="n">
        <v>43801</v>
      </c>
      <c r="C189" s="1" t="n">
        <v>45564</v>
      </c>
      <c r="D189" t="inlineStr">
        <is>
          <t>ÖREBRO LÄN</t>
        </is>
      </c>
      <c r="E189" t="inlineStr">
        <is>
          <t>ÖREBRO</t>
        </is>
      </c>
      <c r="G189" t="n">
        <v>0.3</v>
      </c>
      <c r="H189" t="n">
        <v>0</v>
      </c>
      <c r="I189" t="n">
        <v>0</v>
      </c>
      <c r="J189" t="n">
        <v>0</v>
      </c>
      <c r="K189" t="n">
        <v>0</v>
      </c>
      <c r="L189" t="n">
        <v>0</v>
      </c>
      <c r="M189" t="n">
        <v>0</v>
      </c>
      <c r="N189" t="n">
        <v>0</v>
      </c>
      <c r="O189" t="n">
        <v>0</v>
      </c>
      <c r="P189" t="n">
        <v>0</v>
      </c>
      <c r="Q189" t="n">
        <v>0</v>
      </c>
      <c r="R189" s="2" t="inlineStr"/>
    </row>
    <row r="190" ht="15" customHeight="1">
      <c r="A190" t="inlineStr">
        <is>
          <t>A 65937-2019</t>
        </is>
      </c>
      <c r="B190" s="1" t="n">
        <v>43801</v>
      </c>
      <c r="C190" s="1" t="n">
        <v>45564</v>
      </c>
      <c r="D190" t="inlineStr">
        <is>
          <t>ÖREBRO LÄN</t>
        </is>
      </c>
      <c r="E190" t="inlineStr">
        <is>
          <t>ÖREBRO</t>
        </is>
      </c>
      <c r="G190" t="n">
        <v>4.6</v>
      </c>
      <c r="H190" t="n">
        <v>0</v>
      </c>
      <c r="I190" t="n">
        <v>0</v>
      </c>
      <c r="J190" t="n">
        <v>0</v>
      </c>
      <c r="K190" t="n">
        <v>0</v>
      </c>
      <c r="L190" t="n">
        <v>0</v>
      </c>
      <c r="M190" t="n">
        <v>0</v>
      </c>
      <c r="N190" t="n">
        <v>0</v>
      </c>
      <c r="O190" t="n">
        <v>0</v>
      </c>
      <c r="P190" t="n">
        <v>0</v>
      </c>
      <c r="Q190" t="n">
        <v>0</v>
      </c>
      <c r="R190" s="2" t="inlineStr"/>
    </row>
    <row r="191" ht="15" customHeight="1">
      <c r="A191" t="inlineStr">
        <is>
          <t>A 65451-2019</t>
        </is>
      </c>
      <c r="B191" s="1" t="n">
        <v>43803</v>
      </c>
      <c r="C191" s="1" t="n">
        <v>45564</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65738-2019</t>
        </is>
      </c>
      <c r="B192" s="1" t="n">
        <v>43804</v>
      </c>
      <c r="C192" s="1" t="n">
        <v>45564</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66581-2019</t>
        </is>
      </c>
      <c r="B193" s="1" t="n">
        <v>43809</v>
      </c>
      <c r="C193" s="1" t="n">
        <v>45564</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66562-2019</t>
        </is>
      </c>
      <c r="B194" s="1" t="n">
        <v>43809</v>
      </c>
      <c r="C194" s="1" t="n">
        <v>45564</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67939-2019</t>
        </is>
      </c>
      <c r="B195" s="1" t="n">
        <v>43810</v>
      </c>
      <c r="C195" s="1" t="n">
        <v>45564</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67471-2019</t>
        </is>
      </c>
      <c r="B196" s="1" t="n">
        <v>43814</v>
      </c>
      <c r="C196" s="1" t="n">
        <v>45564</v>
      </c>
      <c r="D196" t="inlineStr">
        <is>
          <t>ÖREBRO LÄN</t>
        </is>
      </c>
      <c r="E196" t="inlineStr">
        <is>
          <t>ÖREBRO</t>
        </is>
      </c>
      <c r="G196" t="n">
        <v>7</v>
      </c>
      <c r="H196" t="n">
        <v>0</v>
      </c>
      <c r="I196" t="n">
        <v>0</v>
      </c>
      <c r="J196" t="n">
        <v>0</v>
      </c>
      <c r="K196" t="n">
        <v>0</v>
      </c>
      <c r="L196" t="n">
        <v>0</v>
      </c>
      <c r="M196" t="n">
        <v>0</v>
      </c>
      <c r="N196" t="n">
        <v>0</v>
      </c>
      <c r="O196" t="n">
        <v>0</v>
      </c>
      <c r="P196" t="n">
        <v>0</v>
      </c>
      <c r="Q196" t="n">
        <v>0</v>
      </c>
      <c r="R196" s="2" t="inlineStr"/>
    </row>
    <row r="197" ht="15" customHeight="1">
      <c r="A197" t="inlineStr">
        <is>
          <t>A 67469-2019</t>
        </is>
      </c>
      <c r="B197" s="1" t="n">
        <v>43814</v>
      </c>
      <c r="C197" s="1" t="n">
        <v>45564</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67475-2019</t>
        </is>
      </c>
      <c r="B198" s="1" t="n">
        <v>43814</v>
      </c>
      <c r="C198" s="1" t="n">
        <v>45564</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67477-2019</t>
        </is>
      </c>
      <c r="B199" s="1" t="n">
        <v>43814</v>
      </c>
      <c r="C199" s="1" t="n">
        <v>45564</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68541-2019</t>
        </is>
      </c>
      <c r="B200" s="1" t="n">
        <v>43818</v>
      </c>
      <c r="C200" s="1" t="n">
        <v>45564</v>
      </c>
      <c r="D200" t="inlineStr">
        <is>
          <t>ÖREBRO LÄN</t>
        </is>
      </c>
      <c r="E200" t="inlineStr">
        <is>
          <t>ÖREBRO</t>
        </is>
      </c>
      <c r="G200" t="n">
        <v>5.9</v>
      </c>
      <c r="H200" t="n">
        <v>0</v>
      </c>
      <c r="I200" t="n">
        <v>0</v>
      </c>
      <c r="J200" t="n">
        <v>0</v>
      </c>
      <c r="K200" t="n">
        <v>0</v>
      </c>
      <c r="L200" t="n">
        <v>0</v>
      </c>
      <c r="M200" t="n">
        <v>0</v>
      </c>
      <c r="N200" t="n">
        <v>0</v>
      </c>
      <c r="O200" t="n">
        <v>0</v>
      </c>
      <c r="P200" t="n">
        <v>0</v>
      </c>
      <c r="Q200" t="n">
        <v>0</v>
      </c>
      <c r="R200" s="2" t="inlineStr"/>
    </row>
    <row r="201" ht="15" customHeight="1">
      <c r="A201" t="inlineStr">
        <is>
          <t>A 68554-2019</t>
        </is>
      </c>
      <c r="B201" s="1" t="n">
        <v>43818</v>
      </c>
      <c r="C201" s="1" t="n">
        <v>45564</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257-2020</t>
        </is>
      </c>
      <c r="B202" s="1" t="n">
        <v>43836</v>
      </c>
      <c r="C202" s="1" t="n">
        <v>45564</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760-2020</t>
        </is>
      </c>
      <c r="B203" s="1" t="n">
        <v>43838</v>
      </c>
      <c r="C203" s="1" t="n">
        <v>45564</v>
      </c>
      <c r="D203" t="inlineStr">
        <is>
          <t>ÖREBRO LÄN</t>
        </is>
      </c>
      <c r="E203" t="inlineStr">
        <is>
          <t>ÖREBRO</t>
        </is>
      </c>
      <c r="G203" t="n">
        <v>6.2</v>
      </c>
      <c r="H203" t="n">
        <v>0</v>
      </c>
      <c r="I203" t="n">
        <v>0</v>
      </c>
      <c r="J203" t="n">
        <v>0</v>
      </c>
      <c r="K203" t="n">
        <v>0</v>
      </c>
      <c r="L203" t="n">
        <v>0</v>
      </c>
      <c r="M203" t="n">
        <v>0</v>
      </c>
      <c r="N203" t="n">
        <v>0</v>
      </c>
      <c r="O203" t="n">
        <v>0</v>
      </c>
      <c r="P203" t="n">
        <v>0</v>
      </c>
      <c r="Q203" t="n">
        <v>0</v>
      </c>
      <c r="R203" s="2" t="inlineStr"/>
    </row>
    <row r="204" ht="15" customHeight="1">
      <c r="A204" t="inlineStr">
        <is>
          <t>A 2329-2020</t>
        </is>
      </c>
      <c r="B204" s="1" t="n">
        <v>43840</v>
      </c>
      <c r="C204" s="1" t="n">
        <v>45564</v>
      </c>
      <c r="D204" t="inlineStr">
        <is>
          <t>ÖREBRO LÄN</t>
        </is>
      </c>
      <c r="E204" t="inlineStr">
        <is>
          <t>ÖREBRO</t>
        </is>
      </c>
      <c r="F204" t="inlineStr">
        <is>
          <t>Kommuner</t>
        </is>
      </c>
      <c r="G204" t="n">
        <v>3.7</v>
      </c>
      <c r="H204" t="n">
        <v>0</v>
      </c>
      <c r="I204" t="n">
        <v>0</v>
      </c>
      <c r="J204" t="n">
        <v>0</v>
      </c>
      <c r="K204" t="n">
        <v>0</v>
      </c>
      <c r="L204" t="n">
        <v>0</v>
      </c>
      <c r="M204" t="n">
        <v>0</v>
      </c>
      <c r="N204" t="n">
        <v>0</v>
      </c>
      <c r="O204" t="n">
        <v>0</v>
      </c>
      <c r="P204" t="n">
        <v>0</v>
      </c>
      <c r="Q204" t="n">
        <v>0</v>
      </c>
      <c r="R204" s="2" t="inlineStr"/>
    </row>
    <row r="205" ht="15" customHeight="1">
      <c r="A205" t="inlineStr">
        <is>
          <t>A 1311-2020</t>
        </is>
      </c>
      <c r="B205" s="1" t="n">
        <v>43843</v>
      </c>
      <c r="C205" s="1" t="n">
        <v>45564</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1574-2020</t>
        </is>
      </c>
      <c r="B206" s="1" t="n">
        <v>43844</v>
      </c>
      <c r="C206" s="1" t="n">
        <v>45564</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1580-2020</t>
        </is>
      </c>
      <c r="B207" s="1" t="n">
        <v>43844</v>
      </c>
      <c r="C207" s="1" t="n">
        <v>45564</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1577-2020</t>
        </is>
      </c>
      <c r="B208" s="1" t="n">
        <v>43844</v>
      </c>
      <c r="C208" s="1" t="n">
        <v>45564</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1582-2020</t>
        </is>
      </c>
      <c r="B209" s="1" t="n">
        <v>43844</v>
      </c>
      <c r="C209" s="1" t="n">
        <v>45564</v>
      </c>
      <c r="D209" t="inlineStr">
        <is>
          <t>ÖREBRO LÄN</t>
        </is>
      </c>
      <c r="E209" t="inlineStr">
        <is>
          <t>ÖREBRO</t>
        </is>
      </c>
      <c r="G209" t="n">
        <v>5.3</v>
      </c>
      <c r="H209" t="n">
        <v>0</v>
      </c>
      <c r="I209" t="n">
        <v>0</v>
      </c>
      <c r="J209" t="n">
        <v>0</v>
      </c>
      <c r="K209" t="n">
        <v>0</v>
      </c>
      <c r="L209" t="n">
        <v>0</v>
      </c>
      <c r="M209" t="n">
        <v>0</v>
      </c>
      <c r="N209" t="n">
        <v>0</v>
      </c>
      <c r="O209" t="n">
        <v>0</v>
      </c>
      <c r="P209" t="n">
        <v>0</v>
      </c>
      <c r="Q209" t="n">
        <v>0</v>
      </c>
      <c r="R209" s="2" t="inlineStr"/>
    </row>
    <row r="210" ht="15" customHeight="1">
      <c r="A210" t="inlineStr">
        <is>
          <t>A 1581-2020</t>
        </is>
      </c>
      <c r="B210" s="1" t="n">
        <v>43844</v>
      </c>
      <c r="C210" s="1" t="n">
        <v>45564</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1573-2020</t>
        </is>
      </c>
      <c r="B211" s="1" t="n">
        <v>43844</v>
      </c>
      <c r="C211" s="1" t="n">
        <v>45564</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1579-2020</t>
        </is>
      </c>
      <c r="B212" s="1" t="n">
        <v>43844</v>
      </c>
      <c r="C212" s="1" t="n">
        <v>45564</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1575-2020</t>
        </is>
      </c>
      <c r="B213" s="1" t="n">
        <v>43844</v>
      </c>
      <c r="C213" s="1" t="n">
        <v>45564</v>
      </c>
      <c r="D213" t="inlineStr">
        <is>
          <t>ÖREBRO LÄN</t>
        </is>
      </c>
      <c r="E213" t="inlineStr">
        <is>
          <t>ÖREBRO</t>
        </is>
      </c>
      <c r="G213" t="n">
        <v>2.3</v>
      </c>
      <c r="H213" t="n">
        <v>0</v>
      </c>
      <c r="I213" t="n">
        <v>0</v>
      </c>
      <c r="J213" t="n">
        <v>0</v>
      </c>
      <c r="K213" t="n">
        <v>0</v>
      </c>
      <c r="L213" t="n">
        <v>0</v>
      </c>
      <c r="M213" t="n">
        <v>0</v>
      </c>
      <c r="N213" t="n">
        <v>0</v>
      </c>
      <c r="O213" t="n">
        <v>0</v>
      </c>
      <c r="P213" t="n">
        <v>0</v>
      </c>
      <c r="Q213" t="n">
        <v>0</v>
      </c>
      <c r="R213" s="2" t="inlineStr"/>
    </row>
    <row r="214" ht="15" customHeight="1">
      <c r="A214" t="inlineStr">
        <is>
          <t>A 3022-2020</t>
        </is>
      </c>
      <c r="B214" s="1" t="n">
        <v>43851</v>
      </c>
      <c r="C214" s="1" t="n">
        <v>45564</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3630-2020</t>
        </is>
      </c>
      <c r="B215" s="1" t="n">
        <v>43853</v>
      </c>
      <c r="C215" s="1" t="n">
        <v>45564</v>
      </c>
      <c r="D215" t="inlineStr">
        <is>
          <t>ÖREBRO LÄN</t>
        </is>
      </c>
      <c r="E215" t="inlineStr">
        <is>
          <t>ÖREBRO</t>
        </is>
      </c>
      <c r="G215" t="n">
        <v>7.9</v>
      </c>
      <c r="H215" t="n">
        <v>0</v>
      </c>
      <c r="I215" t="n">
        <v>0</v>
      </c>
      <c r="J215" t="n">
        <v>0</v>
      </c>
      <c r="K215" t="n">
        <v>0</v>
      </c>
      <c r="L215" t="n">
        <v>0</v>
      </c>
      <c r="M215" t="n">
        <v>0</v>
      </c>
      <c r="N215" t="n">
        <v>0</v>
      </c>
      <c r="O215" t="n">
        <v>0</v>
      </c>
      <c r="P215" t="n">
        <v>0</v>
      </c>
      <c r="Q215" t="n">
        <v>0</v>
      </c>
      <c r="R215" s="2" t="inlineStr"/>
    </row>
    <row r="216" ht="15" customHeight="1">
      <c r="A216" t="inlineStr">
        <is>
          <t>A 3628-2020</t>
        </is>
      </c>
      <c r="B216" s="1" t="n">
        <v>43853</v>
      </c>
      <c r="C216" s="1" t="n">
        <v>45564</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4990-2020</t>
        </is>
      </c>
      <c r="B217" s="1" t="n">
        <v>43853</v>
      </c>
      <c r="C217" s="1" t="n">
        <v>45564</v>
      </c>
      <c r="D217" t="inlineStr">
        <is>
          <t>ÖREBRO LÄN</t>
        </is>
      </c>
      <c r="E217" t="inlineStr">
        <is>
          <t>ÖREBRO</t>
        </is>
      </c>
      <c r="F217" t="inlineStr">
        <is>
          <t>Kommuner</t>
        </is>
      </c>
      <c r="G217" t="n">
        <v>0.6</v>
      </c>
      <c r="H217" t="n">
        <v>0</v>
      </c>
      <c r="I217" t="n">
        <v>0</v>
      </c>
      <c r="J217" t="n">
        <v>0</v>
      </c>
      <c r="K217" t="n">
        <v>0</v>
      </c>
      <c r="L217" t="n">
        <v>0</v>
      </c>
      <c r="M217" t="n">
        <v>0</v>
      </c>
      <c r="N217" t="n">
        <v>0</v>
      </c>
      <c r="O217" t="n">
        <v>0</v>
      </c>
      <c r="P217" t="n">
        <v>0</v>
      </c>
      <c r="Q217" t="n">
        <v>0</v>
      </c>
      <c r="R217" s="2" t="inlineStr"/>
    </row>
    <row r="218" ht="15" customHeight="1">
      <c r="A218" t="inlineStr">
        <is>
          <t>A 3956-2020</t>
        </is>
      </c>
      <c r="B218" s="1" t="n">
        <v>43854</v>
      </c>
      <c r="C218" s="1" t="n">
        <v>45564</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4343-2020</t>
        </is>
      </c>
      <c r="B219" s="1" t="n">
        <v>43857</v>
      </c>
      <c r="C219" s="1" t="n">
        <v>45564</v>
      </c>
      <c r="D219" t="inlineStr">
        <is>
          <t>ÖREBRO LÄN</t>
        </is>
      </c>
      <c r="E219" t="inlineStr">
        <is>
          <t>ÖREBRO</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4751-2020</t>
        </is>
      </c>
      <c r="B220" s="1" t="n">
        <v>43858</v>
      </c>
      <c r="C220" s="1" t="n">
        <v>45564</v>
      </c>
      <c r="D220" t="inlineStr">
        <is>
          <t>ÖREBRO LÄN</t>
        </is>
      </c>
      <c r="E220" t="inlineStr">
        <is>
          <t>ÖREBRO</t>
        </is>
      </c>
      <c r="F220" t="inlineStr">
        <is>
          <t>Kommuner</t>
        </is>
      </c>
      <c r="G220" t="n">
        <v>2.9</v>
      </c>
      <c r="H220" t="n">
        <v>0</v>
      </c>
      <c r="I220" t="n">
        <v>0</v>
      </c>
      <c r="J220" t="n">
        <v>0</v>
      </c>
      <c r="K220" t="n">
        <v>0</v>
      </c>
      <c r="L220" t="n">
        <v>0</v>
      </c>
      <c r="M220" t="n">
        <v>0</v>
      </c>
      <c r="N220" t="n">
        <v>0</v>
      </c>
      <c r="O220" t="n">
        <v>0</v>
      </c>
      <c r="P220" t="n">
        <v>0</v>
      </c>
      <c r="Q220" t="n">
        <v>0</v>
      </c>
      <c r="R220" s="2" t="inlineStr"/>
      <c r="U220">
        <f>HYPERLINK("https://klasma.github.io/Logging_1880/knärot/A 4751-2020 karta knärot.png", "A 4751-2020")</f>
        <v/>
      </c>
      <c r="V220">
        <f>HYPERLINK("https://klasma.github.io/Logging_1880/klagomål/A 4751-2020 FSC-klagomål.docx", "A 4751-2020")</f>
        <v/>
      </c>
      <c r="W220">
        <f>HYPERLINK("https://klasma.github.io/Logging_1880/klagomålsmail/A 4751-2020 FSC-klagomål mail.docx", "A 4751-2020")</f>
        <v/>
      </c>
      <c r="X220">
        <f>HYPERLINK("https://klasma.github.io/Logging_1880/tillsyn/A 4751-2020 tillsynsbegäran.docx", "A 4751-2020")</f>
        <v/>
      </c>
      <c r="Y220">
        <f>HYPERLINK("https://klasma.github.io/Logging_1880/tillsynsmail/A 4751-2020 tillsynsbegäran mail.docx", "A 4751-2020")</f>
        <v/>
      </c>
    </row>
    <row r="221" ht="15" customHeight="1">
      <c r="A221" t="inlineStr">
        <is>
          <t>A 5076-2020</t>
        </is>
      </c>
      <c r="B221" s="1" t="n">
        <v>43859</v>
      </c>
      <c r="C221" s="1" t="n">
        <v>45564</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6166-2020</t>
        </is>
      </c>
      <c r="B222" s="1" t="n">
        <v>43864</v>
      </c>
      <c r="C222" s="1" t="n">
        <v>45564</v>
      </c>
      <c r="D222" t="inlineStr">
        <is>
          <t>ÖREBRO LÄN</t>
        </is>
      </c>
      <c r="E222" t="inlineStr">
        <is>
          <t>ÖREBRO</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6247-2020</t>
        </is>
      </c>
      <c r="B223" s="1" t="n">
        <v>43864</v>
      </c>
      <c r="C223" s="1" t="n">
        <v>45564</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6456-2020</t>
        </is>
      </c>
      <c r="B224" s="1" t="n">
        <v>43866</v>
      </c>
      <c r="C224" s="1" t="n">
        <v>45564</v>
      </c>
      <c r="D224" t="inlineStr">
        <is>
          <t>ÖREBRO LÄN</t>
        </is>
      </c>
      <c r="E224" t="inlineStr">
        <is>
          <t>ÖREBRO</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6633-2020</t>
        </is>
      </c>
      <c r="B225" s="1" t="n">
        <v>43867</v>
      </c>
      <c r="C225" s="1" t="n">
        <v>45564</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6792-2020</t>
        </is>
      </c>
      <c r="B226" s="1" t="n">
        <v>43867</v>
      </c>
      <c r="C226" s="1" t="n">
        <v>45564</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6924-2020</t>
        </is>
      </c>
      <c r="B227" s="1" t="n">
        <v>43868</v>
      </c>
      <c r="C227" s="1" t="n">
        <v>45564</v>
      </c>
      <c r="D227" t="inlineStr">
        <is>
          <t>ÖREBRO LÄN</t>
        </is>
      </c>
      <c r="E227" t="inlineStr">
        <is>
          <t>ÖREBRO</t>
        </is>
      </c>
      <c r="G227" t="n">
        <v>3.1</v>
      </c>
      <c r="H227" t="n">
        <v>0</v>
      </c>
      <c r="I227" t="n">
        <v>0</v>
      </c>
      <c r="J227" t="n">
        <v>0</v>
      </c>
      <c r="K227" t="n">
        <v>0</v>
      </c>
      <c r="L227" t="n">
        <v>0</v>
      </c>
      <c r="M227" t="n">
        <v>0</v>
      </c>
      <c r="N227" t="n">
        <v>0</v>
      </c>
      <c r="O227" t="n">
        <v>0</v>
      </c>
      <c r="P227" t="n">
        <v>0</v>
      </c>
      <c r="Q227" t="n">
        <v>0</v>
      </c>
      <c r="R227" s="2" t="inlineStr"/>
    </row>
    <row r="228" ht="15" customHeight="1">
      <c r="A228" t="inlineStr">
        <is>
          <t>A 6949-2020</t>
        </is>
      </c>
      <c r="B228" s="1" t="n">
        <v>43868</v>
      </c>
      <c r="C228" s="1" t="n">
        <v>45564</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7583-2020</t>
        </is>
      </c>
      <c r="B229" s="1" t="n">
        <v>43872</v>
      </c>
      <c r="C229" s="1" t="n">
        <v>45564</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8563-2020</t>
        </is>
      </c>
      <c r="B230" s="1" t="n">
        <v>43877</v>
      </c>
      <c r="C230" s="1" t="n">
        <v>45564</v>
      </c>
      <c r="D230" t="inlineStr">
        <is>
          <t>ÖREBRO LÄN</t>
        </is>
      </c>
      <c r="E230" t="inlineStr">
        <is>
          <t>ÖREBRO</t>
        </is>
      </c>
      <c r="G230" t="n">
        <v>11.9</v>
      </c>
      <c r="H230" t="n">
        <v>0</v>
      </c>
      <c r="I230" t="n">
        <v>0</v>
      </c>
      <c r="J230" t="n">
        <v>0</v>
      </c>
      <c r="K230" t="n">
        <v>0</v>
      </c>
      <c r="L230" t="n">
        <v>0</v>
      </c>
      <c r="M230" t="n">
        <v>0</v>
      </c>
      <c r="N230" t="n">
        <v>0</v>
      </c>
      <c r="O230" t="n">
        <v>0</v>
      </c>
      <c r="P230" t="n">
        <v>0</v>
      </c>
      <c r="Q230" t="n">
        <v>0</v>
      </c>
      <c r="R230" s="2" t="inlineStr"/>
    </row>
    <row r="231" ht="15" customHeight="1">
      <c r="A231" t="inlineStr">
        <is>
          <t>A 8801-2020</t>
        </is>
      </c>
      <c r="B231" s="1" t="n">
        <v>43878</v>
      </c>
      <c r="C231" s="1" t="n">
        <v>45564</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8893-2020</t>
        </is>
      </c>
      <c r="B232" s="1" t="n">
        <v>43878</v>
      </c>
      <c r="C232" s="1" t="n">
        <v>45564</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9572-2020</t>
        </is>
      </c>
      <c r="B233" s="1" t="n">
        <v>43881</v>
      </c>
      <c r="C233" s="1" t="n">
        <v>45564</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9561-2020</t>
        </is>
      </c>
      <c r="B234" s="1" t="n">
        <v>43881</v>
      </c>
      <c r="C234" s="1" t="n">
        <v>45564</v>
      </c>
      <c r="D234" t="inlineStr">
        <is>
          <t>ÖREBRO LÄN</t>
        </is>
      </c>
      <c r="E234" t="inlineStr">
        <is>
          <t>ÖREBRO</t>
        </is>
      </c>
      <c r="G234" t="n">
        <v>8.6</v>
      </c>
      <c r="H234" t="n">
        <v>0</v>
      </c>
      <c r="I234" t="n">
        <v>0</v>
      </c>
      <c r="J234" t="n">
        <v>0</v>
      </c>
      <c r="K234" t="n">
        <v>0</v>
      </c>
      <c r="L234" t="n">
        <v>0</v>
      </c>
      <c r="M234" t="n">
        <v>0</v>
      </c>
      <c r="N234" t="n">
        <v>0</v>
      </c>
      <c r="O234" t="n">
        <v>0</v>
      </c>
      <c r="P234" t="n">
        <v>0</v>
      </c>
      <c r="Q234" t="n">
        <v>0</v>
      </c>
      <c r="R234" s="2" t="inlineStr"/>
    </row>
    <row r="235" ht="15" customHeight="1">
      <c r="A235" t="inlineStr">
        <is>
          <t>A 9655-2020</t>
        </is>
      </c>
      <c r="B235" s="1" t="n">
        <v>43881</v>
      </c>
      <c r="C235" s="1" t="n">
        <v>45564</v>
      </c>
      <c r="D235" t="inlineStr">
        <is>
          <t>ÖREBRO LÄN</t>
        </is>
      </c>
      <c r="E235" t="inlineStr">
        <is>
          <t>ÖREBRO</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9893-2020</t>
        </is>
      </c>
      <c r="B236" s="1" t="n">
        <v>43881</v>
      </c>
      <c r="C236" s="1" t="n">
        <v>45564</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11956-2020</t>
        </is>
      </c>
      <c r="B237" s="1" t="n">
        <v>43894</v>
      </c>
      <c r="C237" s="1" t="n">
        <v>45564</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11957-2020</t>
        </is>
      </c>
      <c r="B238" s="1" t="n">
        <v>43894</v>
      </c>
      <c r="C238" s="1" t="n">
        <v>45564</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12335-2020</t>
        </is>
      </c>
      <c r="B239" s="1" t="n">
        <v>43895</v>
      </c>
      <c r="C239" s="1" t="n">
        <v>45564</v>
      </c>
      <c r="D239" t="inlineStr">
        <is>
          <t>ÖREBRO LÄN</t>
        </is>
      </c>
      <c r="E239" t="inlineStr">
        <is>
          <t>ÖREBRO</t>
        </is>
      </c>
      <c r="G239" t="n">
        <v>6.9</v>
      </c>
      <c r="H239" t="n">
        <v>0</v>
      </c>
      <c r="I239" t="n">
        <v>0</v>
      </c>
      <c r="J239" t="n">
        <v>0</v>
      </c>
      <c r="K239" t="n">
        <v>0</v>
      </c>
      <c r="L239" t="n">
        <v>0</v>
      </c>
      <c r="M239" t="n">
        <v>0</v>
      </c>
      <c r="N239" t="n">
        <v>0</v>
      </c>
      <c r="O239" t="n">
        <v>0</v>
      </c>
      <c r="P239" t="n">
        <v>0</v>
      </c>
      <c r="Q239" t="n">
        <v>0</v>
      </c>
      <c r="R239" s="2" t="inlineStr"/>
    </row>
    <row r="240" ht="15" customHeight="1">
      <c r="A240" t="inlineStr">
        <is>
          <t>A 12548-2020</t>
        </is>
      </c>
      <c r="B240" s="1" t="n">
        <v>43897</v>
      </c>
      <c r="C240" s="1" t="n">
        <v>45564</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12546-2020</t>
        </is>
      </c>
      <c r="B241" s="1" t="n">
        <v>43897</v>
      </c>
      <c r="C241" s="1" t="n">
        <v>45564</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13273-2020</t>
        </is>
      </c>
      <c r="B242" s="1" t="n">
        <v>43901</v>
      </c>
      <c r="C242" s="1" t="n">
        <v>45564</v>
      </c>
      <c r="D242" t="inlineStr">
        <is>
          <t>ÖREBRO LÄN</t>
        </is>
      </c>
      <c r="E242" t="inlineStr">
        <is>
          <t>ÖREBRO</t>
        </is>
      </c>
      <c r="G242" t="n">
        <v>2.6</v>
      </c>
      <c r="H242" t="n">
        <v>0</v>
      </c>
      <c r="I242" t="n">
        <v>0</v>
      </c>
      <c r="J242" t="n">
        <v>0</v>
      </c>
      <c r="K242" t="n">
        <v>0</v>
      </c>
      <c r="L242" t="n">
        <v>0</v>
      </c>
      <c r="M242" t="n">
        <v>0</v>
      </c>
      <c r="N242" t="n">
        <v>0</v>
      </c>
      <c r="O242" t="n">
        <v>0</v>
      </c>
      <c r="P242" t="n">
        <v>0</v>
      </c>
      <c r="Q242" t="n">
        <v>0</v>
      </c>
      <c r="R242" s="2" t="inlineStr"/>
    </row>
    <row r="243" ht="15" customHeight="1">
      <c r="A243" t="inlineStr">
        <is>
          <t>A 13328-2020</t>
        </is>
      </c>
      <c r="B243" s="1" t="n">
        <v>43902</v>
      </c>
      <c r="C243" s="1" t="n">
        <v>45564</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13830-2020</t>
        </is>
      </c>
      <c r="B244" s="1" t="n">
        <v>43905</v>
      </c>
      <c r="C244" s="1" t="n">
        <v>45564</v>
      </c>
      <c r="D244" t="inlineStr">
        <is>
          <t>ÖREBRO LÄN</t>
        </is>
      </c>
      <c r="E244" t="inlineStr">
        <is>
          <t>ÖREBRO</t>
        </is>
      </c>
      <c r="G244" t="n">
        <v>3.2</v>
      </c>
      <c r="H244" t="n">
        <v>0</v>
      </c>
      <c r="I244" t="n">
        <v>0</v>
      </c>
      <c r="J244" t="n">
        <v>0</v>
      </c>
      <c r="K244" t="n">
        <v>0</v>
      </c>
      <c r="L244" t="n">
        <v>0</v>
      </c>
      <c r="M244" t="n">
        <v>0</v>
      </c>
      <c r="N244" t="n">
        <v>0</v>
      </c>
      <c r="O244" t="n">
        <v>0</v>
      </c>
      <c r="P244" t="n">
        <v>0</v>
      </c>
      <c r="Q244" t="n">
        <v>0</v>
      </c>
      <c r="R244" s="2" t="inlineStr"/>
    </row>
    <row r="245" ht="15" customHeight="1">
      <c r="A245" t="inlineStr">
        <is>
          <t>A 14209-2020</t>
        </is>
      </c>
      <c r="B245" s="1" t="n">
        <v>43907</v>
      </c>
      <c r="C245" s="1" t="n">
        <v>45564</v>
      </c>
      <c r="D245" t="inlineStr">
        <is>
          <t>ÖREBRO LÄN</t>
        </is>
      </c>
      <c r="E245" t="inlineStr">
        <is>
          <t>ÖREBRO</t>
        </is>
      </c>
      <c r="G245" t="n">
        <v>7.4</v>
      </c>
      <c r="H245" t="n">
        <v>0</v>
      </c>
      <c r="I245" t="n">
        <v>0</v>
      </c>
      <c r="J245" t="n">
        <v>0</v>
      </c>
      <c r="K245" t="n">
        <v>0</v>
      </c>
      <c r="L245" t="n">
        <v>0</v>
      </c>
      <c r="M245" t="n">
        <v>0</v>
      </c>
      <c r="N245" t="n">
        <v>0</v>
      </c>
      <c r="O245" t="n">
        <v>0</v>
      </c>
      <c r="P245" t="n">
        <v>0</v>
      </c>
      <c r="Q245" t="n">
        <v>0</v>
      </c>
      <c r="R245" s="2" t="inlineStr"/>
    </row>
    <row r="246" ht="15" customHeight="1">
      <c r="A246" t="inlineStr">
        <is>
          <t>A 16152-2020</t>
        </is>
      </c>
      <c r="B246" s="1" t="n">
        <v>43916</v>
      </c>
      <c r="C246" s="1" t="n">
        <v>45564</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16258-2020</t>
        </is>
      </c>
      <c r="B247" s="1" t="n">
        <v>43917</v>
      </c>
      <c r="C247" s="1" t="n">
        <v>45564</v>
      </c>
      <c r="D247" t="inlineStr">
        <is>
          <t>ÖREBRO LÄN</t>
        </is>
      </c>
      <c r="E247" t="inlineStr">
        <is>
          <t>ÖREBRO</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16682-2020</t>
        </is>
      </c>
      <c r="B248" s="1" t="n">
        <v>43920</v>
      </c>
      <c r="C248" s="1" t="n">
        <v>45564</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18136-2020</t>
        </is>
      </c>
      <c r="B249" s="1" t="n">
        <v>43927</v>
      </c>
      <c r="C249" s="1" t="n">
        <v>45564</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18365-2020</t>
        </is>
      </c>
      <c r="B250" s="1" t="n">
        <v>43928</v>
      </c>
      <c r="C250" s="1" t="n">
        <v>45564</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19465-2020</t>
        </is>
      </c>
      <c r="B251" s="1" t="n">
        <v>43938</v>
      </c>
      <c r="C251" s="1" t="n">
        <v>45564</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20302-2020</t>
        </is>
      </c>
      <c r="B252" s="1" t="n">
        <v>43938</v>
      </c>
      <c r="C252" s="1" t="n">
        <v>45564</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21053-2020</t>
        </is>
      </c>
      <c r="B253" s="1" t="n">
        <v>43951</v>
      </c>
      <c r="C253" s="1" t="n">
        <v>45564</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22141-2020</t>
        </is>
      </c>
      <c r="B254" s="1" t="n">
        <v>43961</v>
      </c>
      <c r="C254" s="1" t="n">
        <v>45564</v>
      </c>
      <c r="D254" t="inlineStr">
        <is>
          <t>ÖREBRO LÄN</t>
        </is>
      </c>
      <c r="E254" t="inlineStr">
        <is>
          <t>ÖREBRO</t>
        </is>
      </c>
      <c r="G254" t="n">
        <v>2.9</v>
      </c>
      <c r="H254" t="n">
        <v>0</v>
      </c>
      <c r="I254" t="n">
        <v>0</v>
      </c>
      <c r="J254" t="n">
        <v>0</v>
      </c>
      <c r="K254" t="n">
        <v>0</v>
      </c>
      <c r="L254" t="n">
        <v>0</v>
      </c>
      <c r="M254" t="n">
        <v>0</v>
      </c>
      <c r="N254" t="n">
        <v>0</v>
      </c>
      <c r="O254" t="n">
        <v>0</v>
      </c>
      <c r="P254" t="n">
        <v>0</v>
      </c>
      <c r="Q254" t="n">
        <v>0</v>
      </c>
      <c r="R254" s="2" t="inlineStr"/>
    </row>
    <row r="255" ht="15" customHeight="1">
      <c r="A255" t="inlineStr">
        <is>
          <t>A 23849-2020</t>
        </is>
      </c>
      <c r="B255" s="1" t="n">
        <v>43971</v>
      </c>
      <c r="C255" s="1" t="n">
        <v>45564</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25437-2020</t>
        </is>
      </c>
      <c r="B256" s="1" t="n">
        <v>43983</v>
      </c>
      <c r="C256" s="1" t="n">
        <v>45564</v>
      </c>
      <c r="D256" t="inlineStr">
        <is>
          <t>ÖREBRO LÄN</t>
        </is>
      </c>
      <c r="E256" t="inlineStr">
        <is>
          <t>ÖREBRO</t>
        </is>
      </c>
      <c r="G256" t="n">
        <v>7.5</v>
      </c>
      <c r="H256" t="n">
        <v>0</v>
      </c>
      <c r="I256" t="n">
        <v>0</v>
      </c>
      <c r="J256" t="n">
        <v>0</v>
      </c>
      <c r="K256" t="n">
        <v>0</v>
      </c>
      <c r="L256" t="n">
        <v>0</v>
      </c>
      <c r="M256" t="n">
        <v>0</v>
      </c>
      <c r="N256" t="n">
        <v>0</v>
      </c>
      <c r="O256" t="n">
        <v>0</v>
      </c>
      <c r="P256" t="n">
        <v>0</v>
      </c>
      <c r="Q256" t="n">
        <v>0</v>
      </c>
      <c r="R256" s="2" t="inlineStr"/>
    </row>
    <row r="257" ht="15" customHeight="1">
      <c r="A257" t="inlineStr">
        <is>
          <t>A 25631-2020</t>
        </is>
      </c>
      <c r="B257" s="1" t="n">
        <v>43983</v>
      </c>
      <c r="C257" s="1" t="n">
        <v>45564</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26810-2020</t>
        </is>
      </c>
      <c r="B258" s="1" t="n">
        <v>43987</v>
      </c>
      <c r="C258" s="1" t="n">
        <v>45564</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26862-2020</t>
        </is>
      </c>
      <c r="B259" s="1" t="n">
        <v>43990</v>
      </c>
      <c r="C259" s="1" t="n">
        <v>45564</v>
      </c>
      <c r="D259" t="inlineStr">
        <is>
          <t>ÖREBRO LÄN</t>
        </is>
      </c>
      <c r="E259" t="inlineStr">
        <is>
          <t>ÖREBRO</t>
        </is>
      </c>
      <c r="G259" t="n">
        <v>0.3</v>
      </c>
      <c r="H259" t="n">
        <v>0</v>
      </c>
      <c r="I259" t="n">
        <v>0</v>
      </c>
      <c r="J259" t="n">
        <v>0</v>
      </c>
      <c r="K259" t="n">
        <v>0</v>
      </c>
      <c r="L259" t="n">
        <v>0</v>
      </c>
      <c r="M259" t="n">
        <v>0</v>
      </c>
      <c r="N259" t="n">
        <v>0</v>
      </c>
      <c r="O259" t="n">
        <v>0</v>
      </c>
      <c r="P259" t="n">
        <v>0</v>
      </c>
      <c r="Q259" t="n">
        <v>0</v>
      </c>
      <c r="R259" s="2" t="inlineStr"/>
    </row>
    <row r="260" ht="15" customHeight="1">
      <c r="A260" t="inlineStr">
        <is>
          <t>A 27734-2020</t>
        </is>
      </c>
      <c r="B260" s="1" t="n">
        <v>43994</v>
      </c>
      <c r="C260" s="1" t="n">
        <v>45564</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27744-2020</t>
        </is>
      </c>
      <c r="B261" s="1" t="n">
        <v>43994</v>
      </c>
      <c r="C261" s="1" t="n">
        <v>45564</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28036-2020</t>
        </is>
      </c>
      <c r="B262" s="1" t="n">
        <v>43997</v>
      </c>
      <c r="C262" s="1" t="n">
        <v>45564</v>
      </c>
      <c r="D262" t="inlineStr">
        <is>
          <t>ÖREBRO LÄN</t>
        </is>
      </c>
      <c r="E262" t="inlineStr">
        <is>
          <t>ÖREBRO</t>
        </is>
      </c>
      <c r="G262" t="n">
        <v>2.5</v>
      </c>
      <c r="H262" t="n">
        <v>0</v>
      </c>
      <c r="I262" t="n">
        <v>0</v>
      </c>
      <c r="J262" t="n">
        <v>0</v>
      </c>
      <c r="K262" t="n">
        <v>0</v>
      </c>
      <c r="L262" t="n">
        <v>0</v>
      </c>
      <c r="M262" t="n">
        <v>0</v>
      </c>
      <c r="N262" t="n">
        <v>0</v>
      </c>
      <c r="O262" t="n">
        <v>0</v>
      </c>
      <c r="P262" t="n">
        <v>0</v>
      </c>
      <c r="Q262" t="n">
        <v>0</v>
      </c>
      <c r="R262" s="2" t="inlineStr"/>
    </row>
    <row r="263" ht="15" customHeight="1">
      <c r="A263" t="inlineStr">
        <is>
          <t>A 28092-2020</t>
        </is>
      </c>
      <c r="B263" s="1" t="n">
        <v>43997</v>
      </c>
      <c r="C263" s="1" t="n">
        <v>45564</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28102-2020</t>
        </is>
      </c>
      <c r="B264" s="1" t="n">
        <v>43997</v>
      </c>
      <c r="C264" s="1" t="n">
        <v>45564</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28410-2020</t>
        </is>
      </c>
      <c r="B265" s="1" t="n">
        <v>43998</v>
      </c>
      <c r="C265" s="1" t="n">
        <v>45564</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28456-2020</t>
        </is>
      </c>
      <c r="B266" s="1" t="n">
        <v>43998</v>
      </c>
      <c r="C266" s="1" t="n">
        <v>45564</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29453-2020</t>
        </is>
      </c>
      <c r="B267" s="1" t="n">
        <v>44004</v>
      </c>
      <c r="C267" s="1" t="n">
        <v>45564</v>
      </c>
      <c r="D267" t="inlineStr">
        <is>
          <t>ÖREBRO LÄN</t>
        </is>
      </c>
      <c r="E267" t="inlineStr">
        <is>
          <t>ÖREBRO</t>
        </is>
      </c>
      <c r="G267" t="n">
        <v>6.2</v>
      </c>
      <c r="H267" t="n">
        <v>0</v>
      </c>
      <c r="I267" t="n">
        <v>0</v>
      </c>
      <c r="J267" t="n">
        <v>0</v>
      </c>
      <c r="K267" t="n">
        <v>0</v>
      </c>
      <c r="L267" t="n">
        <v>0</v>
      </c>
      <c r="M267" t="n">
        <v>0</v>
      </c>
      <c r="N267" t="n">
        <v>0</v>
      </c>
      <c r="O267" t="n">
        <v>0</v>
      </c>
      <c r="P267" t="n">
        <v>0</v>
      </c>
      <c r="Q267" t="n">
        <v>0</v>
      </c>
      <c r="R267" s="2" t="inlineStr"/>
    </row>
    <row r="268" ht="15" customHeight="1">
      <c r="A268" t="inlineStr">
        <is>
          <t>A 31120-2020</t>
        </is>
      </c>
      <c r="B268" s="1" t="n">
        <v>44012</v>
      </c>
      <c r="C268" s="1" t="n">
        <v>45564</v>
      </c>
      <c r="D268" t="inlineStr">
        <is>
          <t>ÖREBRO LÄN</t>
        </is>
      </c>
      <c r="E268" t="inlineStr">
        <is>
          <t>ÖREBRO</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31149-2020</t>
        </is>
      </c>
      <c r="B269" s="1" t="n">
        <v>44012</v>
      </c>
      <c r="C269" s="1" t="n">
        <v>45564</v>
      </c>
      <c r="D269" t="inlineStr">
        <is>
          <t>ÖREBRO LÄN</t>
        </is>
      </c>
      <c r="E269" t="inlineStr">
        <is>
          <t>ÖREBRO</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31397-2020</t>
        </is>
      </c>
      <c r="B270" s="1" t="n">
        <v>44012</v>
      </c>
      <c r="C270" s="1" t="n">
        <v>45564</v>
      </c>
      <c r="D270" t="inlineStr">
        <is>
          <t>ÖREBRO LÄN</t>
        </is>
      </c>
      <c r="E270" t="inlineStr">
        <is>
          <t>ÖREBRO</t>
        </is>
      </c>
      <c r="F270" t="inlineStr">
        <is>
          <t>Kommuner</t>
        </is>
      </c>
      <c r="G270" t="n">
        <v>4.2</v>
      </c>
      <c r="H270" t="n">
        <v>0</v>
      </c>
      <c r="I270" t="n">
        <v>0</v>
      </c>
      <c r="J270" t="n">
        <v>0</v>
      </c>
      <c r="K270" t="n">
        <v>0</v>
      </c>
      <c r="L270" t="n">
        <v>0</v>
      </c>
      <c r="M270" t="n">
        <v>0</v>
      </c>
      <c r="N270" t="n">
        <v>0</v>
      </c>
      <c r="O270" t="n">
        <v>0</v>
      </c>
      <c r="P270" t="n">
        <v>0</v>
      </c>
      <c r="Q270" t="n">
        <v>0</v>
      </c>
      <c r="R270" s="2" t="inlineStr"/>
    </row>
    <row r="271" ht="15" customHeight="1">
      <c r="A271" t="inlineStr">
        <is>
          <t>A 31933-2020</t>
        </is>
      </c>
      <c r="B271" s="1" t="n">
        <v>44014</v>
      </c>
      <c r="C271" s="1" t="n">
        <v>45564</v>
      </c>
      <c r="D271" t="inlineStr">
        <is>
          <t>ÖREBRO LÄN</t>
        </is>
      </c>
      <c r="E271" t="inlineStr">
        <is>
          <t>ÖREBRO</t>
        </is>
      </c>
      <c r="F271" t="inlineStr">
        <is>
          <t>Kommuner</t>
        </is>
      </c>
      <c r="G271" t="n">
        <v>6.8</v>
      </c>
      <c r="H271" t="n">
        <v>0</v>
      </c>
      <c r="I271" t="n">
        <v>0</v>
      </c>
      <c r="J271" t="n">
        <v>0</v>
      </c>
      <c r="K271" t="n">
        <v>0</v>
      </c>
      <c r="L271" t="n">
        <v>0</v>
      </c>
      <c r="M271" t="n">
        <v>0</v>
      </c>
      <c r="N271" t="n">
        <v>0</v>
      </c>
      <c r="O271" t="n">
        <v>0</v>
      </c>
      <c r="P271" t="n">
        <v>0</v>
      </c>
      <c r="Q271" t="n">
        <v>0</v>
      </c>
      <c r="R271" s="2" t="inlineStr"/>
    </row>
    <row r="272" ht="15" customHeight="1">
      <c r="A272" t="inlineStr">
        <is>
          <t>A 33125-2020</t>
        </is>
      </c>
      <c r="B272" s="1" t="n">
        <v>44020</v>
      </c>
      <c r="C272" s="1" t="n">
        <v>45564</v>
      </c>
      <c r="D272" t="inlineStr">
        <is>
          <t>ÖREBRO LÄN</t>
        </is>
      </c>
      <c r="E272" t="inlineStr">
        <is>
          <t>ÖREBRO</t>
        </is>
      </c>
      <c r="G272" t="n">
        <v>6.6</v>
      </c>
      <c r="H272" t="n">
        <v>0</v>
      </c>
      <c r="I272" t="n">
        <v>0</v>
      </c>
      <c r="J272" t="n">
        <v>0</v>
      </c>
      <c r="K272" t="n">
        <v>0</v>
      </c>
      <c r="L272" t="n">
        <v>0</v>
      </c>
      <c r="M272" t="n">
        <v>0</v>
      </c>
      <c r="N272" t="n">
        <v>0</v>
      </c>
      <c r="O272" t="n">
        <v>0</v>
      </c>
      <c r="P272" t="n">
        <v>0</v>
      </c>
      <c r="Q272" t="n">
        <v>0</v>
      </c>
      <c r="R272" s="2" t="inlineStr"/>
    </row>
    <row r="273" ht="15" customHeight="1">
      <c r="A273" t="inlineStr">
        <is>
          <t>A 33092-2020</t>
        </is>
      </c>
      <c r="B273" s="1" t="n">
        <v>44020</v>
      </c>
      <c r="C273" s="1" t="n">
        <v>45564</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33120-2020</t>
        </is>
      </c>
      <c r="B274" s="1" t="n">
        <v>44020</v>
      </c>
      <c r="C274" s="1" t="n">
        <v>45564</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33117-2020</t>
        </is>
      </c>
      <c r="B275" s="1" t="n">
        <v>44020</v>
      </c>
      <c r="C275" s="1" t="n">
        <v>45564</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35522-2020</t>
        </is>
      </c>
      <c r="B276" s="1" t="n">
        <v>44043</v>
      </c>
      <c r="C276" s="1" t="n">
        <v>45564</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36778-2020</t>
        </is>
      </c>
      <c r="B277" s="1" t="n">
        <v>44053</v>
      </c>
      <c r="C277" s="1" t="n">
        <v>45564</v>
      </c>
      <c r="D277" t="inlineStr">
        <is>
          <t>ÖREBRO LÄN</t>
        </is>
      </c>
      <c r="E277" t="inlineStr">
        <is>
          <t>ÖREBRO</t>
        </is>
      </c>
      <c r="F277" t="inlineStr">
        <is>
          <t>Allmännings- och besparingsskogar</t>
        </is>
      </c>
      <c r="G277" t="n">
        <v>26.4</v>
      </c>
      <c r="H277" t="n">
        <v>0</v>
      </c>
      <c r="I277" t="n">
        <v>0</v>
      </c>
      <c r="J277" t="n">
        <v>0</v>
      </c>
      <c r="K277" t="n">
        <v>0</v>
      </c>
      <c r="L277" t="n">
        <v>0</v>
      </c>
      <c r="M277" t="n">
        <v>0</v>
      </c>
      <c r="N277" t="n">
        <v>0</v>
      </c>
      <c r="O277" t="n">
        <v>0</v>
      </c>
      <c r="P277" t="n">
        <v>0</v>
      </c>
      <c r="Q277" t="n">
        <v>0</v>
      </c>
      <c r="R277" s="2" t="inlineStr"/>
    </row>
    <row r="278" ht="15" customHeight="1">
      <c r="A278" t="inlineStr">
        <is>
          <t>A 36762-2020</t>
        </is>
      </c>
      <c r="B278" s="1" t="n">
        <v>44053</v>
      </c>
      <c r="C278" s="1" t="n">
        <v>45564</v>
      </c>
      <c r="D278" t="inlineStr">
        <is>
          <t>ÖREBRO LÄN</t>
        </is>
      </c>
      <c r="E278" t="inlineStr">
        <is>
          <t>ÖREBRO</t>
        </is>
      </c>
      <c r="F278" t="inlineStr">
        <is>
          <t>Allmännings- och besparingsskogar</t>
        </is>
      </c>
      <c r="G278" t="n">
        <v>12.3</v>
      </c>
      <c r="H278" t="n">
        <v>0</v>
      </c>
      <c r="I278" t="n">
        <v>0</v>
      </c>
      <c r="J278" t="n">
        <v>0</v>
      </c>
      <c r="K278" t="n">
        <v>0</v>
      </c>
      <c r="L278" t="n">
        <v>0</v>
      </c>
      <c r="M278" t="n">
        <v>0</v>
      </c>
      <c r="N278" t="n">
        <v>0</v>
      </c>
      <c r="O278" t="n">
        <v>0</v>
      </c>
      <c r="P278" t="n">
        <v>0</v>
      </c>
      <c r="Q278" t="n">
        <v>0</v>
      </c>
      <c r="R278" s="2" t="inlineStr"/>
    </row>
    <row r="279" ht="15" customHeight="1">
      <c r="A279" t="inlineStr">
        <is>
          <t>A 37654-2020</t>
        </is>
      </c>
      <c r="B279" s="1" t="n">
        <v>44056</v>
      </c>
      <c r="C279" s="1" t="n">
        <v>45564</v>
      </c>
      <c r="D279" t="inlineStr">
        <is>
          <t>ÖREBRO LÄN</t>
        </is>
      </c>
      <c r="E279" t="inlineStr">
        <is>
          <t>ÖREBRO</t>
        </is>
      </c>
      <c r="G279" t="n">
        <v>6.1</v>
      </c>
      <c r="H279" t="n">
        <v>0</v>
      </c>
      <c r="I279" t="n">
        <v>0</v>
      </c>
      <c r="J279" t="n">
        <v>0</v>
      </c>
      <c r="K279" t="n">
        <v>0</v>
      </c>
      <c r="L279" t="n">
        <v>0</v>
      </c>
      <c r="M279" t="n">
        <v>0</v>
      </c>
      <c r="N279" t="n">
        <v>0</v>
      </c>
      <c r="O279" t="n">
        <v>0</v>
      </c>
      <c r="P279" t="n">
        <v>0</v>
      </c>
      <c r="Q279" t="n">
        <v>0</v>
      </c>
      <c r="R279" s="2" t="inlineStr"/>
    </row>
    <row r="280" ht="15" customHeight="1">
      <c r="A280" t="inlineStr">
        <is>
          <t>A 38532-2020</t>
        </is>
      </c>
      <c r="B280" s="1" t="n">
        <v>44061</v>
      </c>
      <c r="C280" s="1" t="n">
        <v>45564</v>
      </c>
      <c r="D280" t="inlineStr">
        <is>
          <t>ÖREBRO LÄN</t>
        </is>
      </c>
      <c r="E280" t="inlineStr">
        <is>
          <t>ÖREBRO</t>
        </is>
      </c>
      <c r="G280" t="n">
        <v>3.8</v>
      </c>
      <c r="H280" t="n">
        <v>0</v>
      </c>
      <c r="I280" t="n">
        <v>0</v>
      </c>
      <c r="J280" t="n">
        <v>0</v>
      </c>
      <c r="K280" t="n">
        <v>0</v>
      </c>
      <c r="L280" t="n">
        <v>0</v>
      </c>
      <c r="M280" t="n">
        <v>0</v>
      </c>
      <c r="N280" t="n">
        <v>0</v>
      </c>
      <c r="O280" t="n">
        <v>0</v>
      </c>
      <c r="P280" t="n">
        <v>0</v>
      </c>
      <c r="Q280" t="n">
        <v>0</v>
      </c>
      <c r="R280" s="2" t="inlineStr"/>
    </row>
    <row r="281" ht="15" customHeight="1">
      <c r="A281" t="inlineStr">
        <is>
          <t>A 38691-2020</t>
        </is>
      </c>
      <c r="B281" s="1" t="n">
        <v>44061</v>
      </c>
      <c r="C281" s="1" t="n">
        <v>45564</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38960-2020</t>
        </is>
      </c>
      <c r="B282" s="1" t="n">
        <v>44062</v>
      </c>
      <c r="C282" s="1" t="n">
        <v>45564</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39307-2020</t>
        </is>
      </c>
      <c r="B283" s="1" t="n">
        <v>44063</v>
      </c>
      <c r="C283" s="1" t="n">
        <v>45564</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39514-2020</t>
        </is>
      </c>
      <c r="B284" s="1" t="n">
        <v>44064</v>
      </c>
      <c r="C284" s="1" t="n">
        <v>45564</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39642-2020</t>
        </is>
      </c>
      <c r="B285" s="1" t="n">
        <v>44064</v>
      </c>
      <c r="C285" s="1" t="n">
        <v>45564</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40356-2020</t>
        </is>
      </c>
      <c r="B286" s="1" t="n">
        <v>44067</v>
      </c>
      <c r="C286" s="1" t="n">
        <v>45564</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40442-2020</t>
        </is>
      </c>
      <c r="B287" s="1" t="n">
        <v>44069</v>
      </c>
      <c r="C287" s="1" t="n">
        <v>45564</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40652-2020</t>
        </is>
      </c>
      <c r="B288" s="1" t="n">
        <v>44069</v>
      </c>
      <c r="C288" s="1" t="n">
        <v>45564</v>
      </c>
      <c r="D288" t="inlineStr">
        <is>
          <t>ÖREBRO LÄN</t>
        </is>
      </c>
      <c r="E288" t="inlineStr">
        <is>
          <t>ÖREBRO</t>
        </is>
      </c>
      <c r="F288" t="inlineStr">
        <is>
          <t>Övriga Aktiebolag</t>
        </is>
      </c>
      <c r="G288" t="n">
        <v>8.4</v>
      </c>
      <c r="H288" t="n">
        <v>0</v>
      </c>
      <c r="I288" t="n">
        <v>0</v>
      </c>
      <c r="J288" t="n">
        <v>0</v>
      </c>
      <c r="K288" t="n">
        <v>0</v>
      </c>
      <c r="L288" t="n">
        <v>0</v>
      </c>
      <c r="M288" t="n">
        <v>0</v>
      </c>
      <c r="N288" t="n">
        <v>0</v>
      </c>
      <c r="O288" t="n">
        <v>0</v>
      </c>
      <c r="P288" t="n">
        <v>0</v>
      </c>
      <c r="Q288" t="n">
        <v>0</v>
      </c>
      <c r="R288" s="2" t="inlineStr"/>
    </row>
    <row r="289" ht="15" customHeight="1">
      <c r="A289" t="inlineStr">
        <is>
          <t>A 41116-2020</t>
        </is>
      </c>
      <c r="B289" s="1" t="n">
        <v>44071</v>
      </c>
      <c r="C289" s="1" t="n">
        <v>45564</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42285-2020</t>
        </is>
      </c>
      <c r="B290" s="1" t="n">
        <v>44076</v>
      </c>
      <c r="C290" s="1" t="n">
        <v>45564</v>
      </c>
      <c r="D290" t="inlineStr">
        <is>
          <t>ÖREBRO LÄN</t>
        </is>
      </c>
      <c r="E290" t="inlineStr">
        <is>
          <t>ÖREBRO</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42865-2020</t>
        </is>
      </c>
      <c r="B291" s="1" t="n">
        <v>44078</v>
      </c>
      <c r="C291" s="1" t="n">
        <v>45564</v>
      </c>
      <c r="D291" t="inlineStr">
        <is>
          <t>ÖREBRO LÄN</t>
        </is>
      </c>
      <c r="E291" t="inlineStr">
        <is>
          <t>ÖREBRO</t>
        </is>
      </c>
      <c r="G291" t="n">
        <v>5.2</v>
      </c>
      <c r="H291" t="n">
        <v>0</v>
      </c>
      <c r="I291" t="n">
        <v>0</v>
      </c>
      <c r="J291" t="n">
        <v>0</v>
      </c>
      <c r="K291" t="n">
        <v>0</v>
      </c>
      <c r="L291" t="n">
        <v>0</v>
      </c>
      <c r="M291" t="n">
        <v>0</v>
      </c>
      <c r="N291" t="n">
        <v>0</v>
      </c>
      <c r="O291" t="n">
        <v>0</v>
      </c>
      <c r="P291" t="n">
        <v>0</v>
      </c>
      <c r="Q291" t="n">
        <v>0</v>
      </c>
      <c r="R291" s="2" t="inlineStr"/>
    </row>
    <row r="292" ht="15" customHeight="1">
      <c r="A292" t="inlineStr">
        <is>
          <t>A 42957-2020</t>
        </is>
      </c>
      <c r="B292" s="1" t="n">
        <v>44078</v>
      </c>
      <c r="C292" s="1" t="n">
        <v>45564</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44331-2020</t>
        </is>
      </c>
      <c r="B293" s="1" t="n">
        <v>44084</v>
      </c>
      <c r="C293" s="1" t="n">
        <v>45564</v>
      </c>
      <c r="D293" t="inlineStr">
        <is>
          <t>ÖREBRO LÄN</t>
        </is>
      </c>
      <c r="E293" t="inlineStr">
        <is>
          <t>ÖREBRO</t>
        </is>
      </c>
      <c r="G293" t="n">
        <v>5.3</v>
      </c>
      <c r="H293" t="n">
        <v>0</v>
      </c>
      <c r="I293" t="n">
        <v>0</v>
      </c>
      <c r="J293" t="n">
        <v>0</v>
      </c>
      <c r="K293" t="n">
        <v>0</v>
      </c>
      <c r="L293" t="n">
        <v>0</v>
      </c>
      <c r="M293" t="n">
        <v>0</v>
      </c>
      <c r="N293" t="n">
        <v>0</v>
      </c>
      <c r="O293" t="n">
        <v>0</v>
      </c>
      <c r="P293" t="n">
        <v>0</v>
      </c>
      <c r="Q293" t="n">
        <v>0</v>
      </c>
      <c r="R293" s="2" t="inlineStr"/>
    </row>
    <row r="294" ht="15" customHeight="1">
      <c r="A294" t="inlineStr">
        <is>
          <t>A 44514-2020</t>
        </is>
      </c>
      <c r="B294" s="1" t="n">
        <v>44085</v>
      </c>
      <c r="C294" s="1" t="n">
        <v>45564</v>
      </c>
      <c r="D294" t="inlineStr">
        <is>
          <t>ÖREBRO LÄN</t>
        </is>
      </c>
      <c r="E294" t="inlineStr">
        <is>
          <t>ÖREBRO</t>
        </is>
      </c>
      <c r="G294" t="n">
        <v>3</v>
      </c>
      <c r="H294" t="n">
        <v>0</v>
      </c>
      <c r="I294" t="n">
        <v>0</v>
      </c>
      <c r="J294" t="n">
        <v>0</v>
      </c>
      <c r="K294" t="n">
        <v>0</v>
      </c>
      <c r="L294" t="n">
        <v>0</v>
      </c>
      <c r="M294" t="n">
        <v>0</v>
      </c>
      <c r="N294" t="n">
        <v>0</v>
      </c>
      <c r="O294" t="n">
        <v>0</v>
      </c>
      <c r="P294" t="n">
        <v>0</v>
      </c>
      <c r="Q294" t="n">
        <v>0</v>
      </c>
      <c r="R294" s="2" t="inlineStr"/>
    </row>
    <row r="295" ht="15" customHeight="1">
      <c r="A295" t="inlineStr">
        <is>
          <t>A 44966-2020</t>
        </is>
      </c>
      <c r="B295" s="1" t="n">
        <v>44088</v>
      </c>
      <c r="C295" s="1" t="n">
        <v>45564</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45029-2020</t>
        </is>
      </c>
      <c r="B296" s="1" t="n">
        <v>44088</v>
      </c>
      <c r="C296" s="1" t="n">
        <v>45564</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46053-2020</t>
        </is>
      </c>
      <c r="B297" s="1" t="n">
        <v>44088</v>
      </c>
      <c r="C297" s="1" t="n">
        <v>45564</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46092-2020</t>
        </is>
      </c>
      <c r="B298" s="1" t="n">
        <v>44091</v>
      </c>
      <c r="C298" s="1" t="n">
        <v>45564</v>
      </c>
      <c r="D298" t="inlineStr">
        <is>
          <t>ÖREBRO LÄN</t>
        </is>
      </c>
      <c r="E298" t="inlineStr">
        <is>
          <t>ÖREBRO</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46607-2020</t>
        </is>
      </c>
      <c r="B299" s="1" t="n">
        <v>44095</v>
      </c>
      <c r="C299" s="1" t="n">
        <v>45564</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47993-2020</t>
        </is>
      </c>
      <c r="B300" s="1" t="n">
        <v>44095</v>
      </c>
      <c r="C300" s="1" t="n">
        <v>45564</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47517-2020</t>
        </is>
      </c>
      <c r="B301" s="1" t="n">
        <v>44095</v>
      </c>
      <c r="C301" s="1" t="n">
        <v>45564</v>
      </c>
      <c r="D301" t="inlineStr">
        <is>
          <t>ÖREBRO LÄN</t>
        </is>
      </c>
      <c r="E301" t="inlineStr">
        <is>
          <t>ÖREBRO</t>
        </is>
      </c>
      <c r="G301" t="n">
        <v>7</v>
      </c>
      <c r="H301" t="n">
        <v>0</v>
      </c>
      <c r="I301" t="n">
        <v>0</v>
      </c>
      <c r="J301" t="n">
        <v>0</v>
      </c>
      <c r="K301" t="n">
        <v>0</v>
      </c>
      <c r="L301" t="n">
        <v>0</v>
      </c>
      <c r="M301" t="n">
        <v>0</v>
      </c>
      <c r="N301" t="n">
        <v>0</v>
      </c>
      <c r="O301" t="n">
        <v>0</v>
      </c>
      <c r="P301" t="n">
        <v>0</v>
      </c>
      <c r="Q301" t="n">
        <v>0</v>
      </c>
      <c r="R301" s="2" t="inlineStr"/>
    </row>
    <row r="302" ht="15" customHeight="1">
      <c r="A302" t="inlineStr">
        <is>
          <t>A 48109-2020</t>
        </is>
      </c>
      <c r="B302" s="1" t="n">
        <v>44101</v>
      </c>
      <c r="C302" s="1" t="n">
        <v>45564</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48889-2020</t>
        </is>
      </c>
      <c r="B303" s="1" t="n">
        <v>44104</v>
      </c>
      <c r="C303" s="1" t="n">
        <v>45564</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48878-2020</t>
        </is>
      </c>
      <c r="B304" s="1" t="n">
        <v>44104</v>
      </c>
      <c r="C304" s="1" t="n">
        <v>45564</v>
      </c>
      <c r="D304" t="inlineStr">
        <is>
          <t>ÖREBRO LÄN</t>
        </is>
      </c>
      <c r="E304" t="inlineStr">
        <is>
          <t>ÖREBRO</t>
        </is>
      </c>
      <c r="G304" t="n">
        <v>12.7</v>
      </c>
      <c r="H304" t="n">
        <v>0</v>
      </c>
      <c r="I304" t="n">
        <v>0</v>
      </c>
      <c r="J304" t="n">
        <v>0</v>
      </c>
      <c r="K304" t="n">
        <v>0</v>
      </c>
      <c r="L304" t="n">
        <v>0</v>
      </c>
      <c r="M304" t="n">
        <v>0</v>
      </c>
      <c r="N304" t="n">
        <v>0</v>
      </c>
      <c r="O304" t="n">
        <v>0</v>
      </c>
      <c r="P304" t="n">
        <v>0</v>
      </c>
      <c r="Q304" t="n">
        <v>0</v>
      </c>
      <c r="R304" s="2" t="inlineStr"/>
    </row>
    <row r="305" ht="15" customHeight="1">
      <c r="A305" t="inlineStr">
        <is>
          <t>A 53003-2020</t>
        </is>
      </c>
      <c r="B305" s="1" t="n">
        <v>44119</v>
      </c>
      <c r="C305" s="1" t="n">
        <v>45564</v>
      </c>
      <c r="D305" t="inlineStr">
        <is>
          <t>ÖREBRO LÄN</t>
        </is>
      </c>
      <c r="E305" t="inlineStr">
        <is>
          <t>ÖREBRO</t>
        </is>
      </c>
      <c r="G305" t="n">
        <v>4.7</v>
      </c>
      <c r="H305" t="n">
        <v>0</v>
      </c>
      <c r="I305" t="n">
        <v>0</v>
      </c>
      <c r="J305" t="n">
        <v>0</v>
      </c>
      <c r="K305" t="n">
        <v>0</v>
      </c>
      <c r="L305" t="n">
        <v>0</v>
      </c>
      <c r="M305" t="n">
        <v>0</v>
      </c>
      <c r="N305" t="n">
        <v>0</v>
      </c>
      <c r="O305" t="n">
        <v>0</v>
      </c>
      <c r="P305" t="n">
        <v>0</v>
      </c>
      <c r="Q305" t="n">
        <v>0</v>
      </c>
      <c r="R305" s="2" t="inlineStr"/>
    </row>
    <row r="306" ht="15" customHeight="1">
      <c r="A306" t="inlineStr">
        <is>
          <t>A 54288-2020</t>
        </is>
      </c>
      <c r="B306" s="1" t="n">
        <v>44124</v>
      </c>
      <c r="C306" s="1" t="n">
        <v>45564</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54526-2020</t>
        </is>
      </c>
      <c r="B307" s="1" t="n">
        <v>44125</v>
      </c>
      <c r="C307" s="1" t="n">
        <v>45564</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55570-2020</t>
        </is>
      </c>
      <c r="B308" s="1" t="n">
        <v>44131</v>
      </c>
      <c r="C308" s="1" t="n">
        <v>45564</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56138-2020</t>
        </is>
      </c>
      <c r="B309" s="1" t="n">
        <v>44133</v>
      </c>
      <c r="C309" s="1" t="n">
        <v>45564</v>
      </c>
      <c r="D309" t="inlineStr">
        <is>
          <t>ÖREBRO LÄN</t>
        </is>
      </c>
      <c r="E309" t="inlineStr">
        <is>
          <t>ÖREBRO</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57241-2020</t>
        </is>
      </c>
      <c r="B310" s="1" t="n">
        <v>44139</v>
      </c>
      <c r="C310" s="1" t="n">
        <v>45564</v>
      </c>
      <c r="D310" t="inlineStr">
        <is>
          <t>ÖREBRO LÄN</t>
        </is>
      </c>
      <c r="E310" t="inlineStr">
        <is>
          <t>ÖREBRO</t>
        </is>
      </c>
      <c r="G310" t="n">
        <v>2.3</v>
      </c>
      <c r="H310" t="n">
        <v>0</v>
      </c>
      <c r="I310" t="n">
        <v>0</v>
      </c>
      <c r="J310" t="n">
        <v>0</v>
      </c>
      <c r="K310" t="n">
        <v>0</v>
      </c>
      <c r="L310" t="n">
        <v>0</v>
      </c>
      <c r="M310" t="n">
        <v>0</v>
      </c>
      <c r="N310" t="n">
        <v>0</v>
      </c>
      <c r="O310" t="n">
        <v>0</v>
      </c>
      <c r="P310" t="n">
        <v>0</v>
      </c>
      <c r="Q310" t="n">
        <v>0</v>
      </c>
      <c r="R310" s="2" t="inlineStr"/>
    </row>
    <row r="311" ht="15" customHeight="1">
      <c r="A311" t="inlineStr">
        <is>
          <t>A 58633-2020</t>
        </is>
      </c>
      <c r="B311" s="1" t="n">
        <v>44145</v>
      </c>
      <c r="C311" s="1" t="n">
        <v>45564</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59265-2020</t>
        </is>
      </c>
      <c r="B312" s="1" t="n">
        <v>44147</v>
      </c>
      <c r="C312" s="1" t="n">
        <v>45564</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60311-2020</t>
        </is>
      </c>
      <c r="B313" s="1" t="n">
        <v>44151</v>
      </c>
      <c r="C313" s="1" t="n">
        <v>45564</v>
      </c>
      <c r="D313" t="inlineStr">
        <is>
          <t>ÖREBRO LÄN</t>
        </is>
      </c>
      <c r="E313" t="inlineStr">
        <is>
          <t>ÖREBRO</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60150-2020</t>
        </is>
      </c>
      <c r="B314" s="1" t="n">
        <v>44152</v>
      </c>
      <c r="C314" s="1" t="n">
        <v>45564</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61965-2020</t>
        </is>
      </c>
      <c r="B315" s="1" t="n">
        <v>44155</v>
      </c>
      <c r="C315" s="1" t="n">
        <v>45564</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62651-2020</t>
        </is>
      </c>
      <c r="B316" s="1" t="n">
        <v>44161</v>
      </c>
      <c r="C316" s="1" t="n">
        <v>45564</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63013-2020</t>
        </is>
      </c>
      <c r="B317" s="1" t="n">
        <v>44162</v>
      </c>
      <c r="C317" s="1" t="n">
        <v>45564</v>
      </c>
      <c r="D317" t="inlineStr">
        <is>
          <t>ÖREBRO LÄN</t>
        </is>
      </c>
      <c r="E317" t="inlineStr">
        <is>
          <t>ÖREBRO</t>
        </is>
      </c>
      <c r="F317" t="inlineStr">
        <is>
          <t>Övriga Aktiebolag</t>
        </is>
      </c>
      <c r="G317" t="n">
        <v>6.9</v>
      </c>
      <c r="H317" t="n">
        <v>0</v>
      </c>
      <c r="I317" t="n">
        <v>0</v>
      </c>
      <c r="J317" t="n">
        <v>0</v>
      </c>
      <c r="K317" t="n">
        <v>0</v>
      </c>
      <c r="L317" t="n">
        <v>0</v>
      </c>
      <c r="M317" t="n">
        <v>0</v>
      </c>
      <c r="N317" t="n">
        <v>0</v>
      </c>
      <c r="O317" t="n">
        <v>0</v>
      </c>
      <c r="P317" t="n">
        <v>0</v>
      </c>
      <c r="Q317" t="n">
        <v>0</v>
      </c>
      <c r="R317" s="2" t="inlineStr"/>
    </row>
    <row r="318" ht="15" customHeight="1">
      <c r="A318" t="inlineStr">
        <is>
          <t>A 63074-2020</t>
        </is>
      </c>
      <c r="B318" s="1" t="n">
        <v>44162</v>
      </c>
      <c r="C318" s="1" t="n">
        <v>45564</v>
      </c>
      <c r="D318" t="inlineStr">
        <is>
          <t>ÖREBRO LÄN</t>
        </is>
      </c>
      <c r="E318" t="inlineStr">
        <is>
          <t>ÖREBRO</t>
        </is>
      </c>
      <c r="F318" t="inlineStr">
        <is>
          <t>Övriga Aktiebolag</t>
        </is>
      </c>
      <c r="G318" t="n">
        <v>6.8</v>
      </c>
      <c r="H318" t="n">
        <v>0</v>
      </c>
      <c r="I318" t="n">
        <v>0</v>
      </c>
      <c r="J318" t="n">
        <v>0</v>
      </c>
      <c r="K318" t="n">
        <v>0</v>
      </c>
      <c r="L318" t="n">
        <v>0</v>
      </c>
      <c r="M318" t="n">
        <v>0</v>
      </c>
      <c r="N318" t="n">
        <v>0</v>
      </c>
      <c r="O318" t="n">
        <v>0</v>
      </c>
      <c r="P318" t="n">
        <v>0</v>
      </c>
      <c r="Q318" t="n">
        <v>0</v>
      </c>
      <c r="R318" s="2" t="inlineStr"/>
    </row>
    <row r="319" ht="15" customHeight="1">
      <c r="A319" t="inlineStr">
        <is>
          <t>A 63016-2020</t>
        </is>
      </c>
      <c r="B319" s="1" t="n">
        <v>44162</v>
      </c>
      <c r="C319" s="1" t="n">
        <v>45564</v>
      </c>
      <c r="D319" t="inlineStr">
        <is>
          <t>ÖREBRO LÄN</t>
        </is>
      </c>
      <c r="E319" t="inlineStr">
        <is>
          <t>ÖREBRO</t>
        </is>
      </c>
      <c r="F319" t="inlineStr">
        <is>
          <t>Övriga Aktiebolag</t>
        </is>
      </c>
      <c r="G319" t="n">
        <v>0.4</v>
      </c>
      <c r="H319" t="n">
        <v>0</v>
      </c>
      <c r="I319" t="n">
        <v>0</v>
      </c>
      <c r="J319" t="n">
        <v>0</v>
      </c>
      <c r="K319" t="n">
        <v>0</v>
      </c>
      <c r="L319" t="n">
        <v>0</v>
      </c>
      <c r="M319" t="n">
        <v>0</v>
      </c>
      <c r="N319" t="n">
        <v>0</v>
      </c>
      <c r="O319" t="n">
        <v>0</v>
      </c>
      <c r="P319" t="n">
        <v>0</v>
      </c>
      <c r="Q319" t="n">
        <v>0</v>
      </c>
      <c r="R319" s="2" t="inlineStr"/>
    </row>
    <row r="320" ht="15" customHeight="1">
      <c r="A320" t="inlineStr">
        <is>
          <t>A 64597-2020</t>
        </is>
      </c>
      <c r="B320" s="1" t="n">
        <v>44166</v>
      </c>
      <c r="C320" s="1" t="n">
        <v>45564</v>
      </c>
      <c r="D320" t="inlineStr">
        <is>
          <t>ÖREBRO LÄN</t>
        </is>
      </c>
      <c r="E320" t="inlineStr">
        <is>
          <t>ÖREBRO</t>
        </is>
      </c>
      <c r="G320" t="n">
        <v>2.6</v>
      </c>
      <c r="H320" t="n">
        <v>0</v>
      </c>
      <c r="I320" t="n">
        <v>0</v>
      </c>
      <c r="J320" t="n">
        <v>0</v>
      </c>
      <c r="K320" t="n">
        <v>0</v>
      </c>
      <c r="L320" t="n">
        <v>0</v>
      </c>
      <c r="M320" t="n">
        <v>0</v>
      </c>
      <c r="N320" t="n">
        <v>0</v>
      </c>
      <c r="O320" t="n">
        <v>0</v>
      </c>
      <c r="P320" t="n">
        <v>0</v>
      </c>
      <c r="Q320" t="n">
        <v>0</v>
      </c>
      <c r="R320" s="2" t="inlineStr"/>
    </row>
    <row r="321" ht="15" customHeight="1">
      <c r="A321" t="inlineStr">
        <is>
          <t>A 65592-2020</t>
        </is>
      </c>
      <c r="B321" s="1" t="n">
        <v>44173</v>
      </c>
      <c r="C321" s="1" t="n">
        <v>45564</v>
      </c>
      <c r="D321" t="inlineStr">
        <is>
          <t>ÖREBRO LÄN</t>
        </is>
      </c>
      <c r="E321" t="inlineStr">
        <is>
          <t>ÖREBRO</t>
        </is>
      </c>
      <c r="G321" t="n">
        <v>8.9</v>
      </c>
      <c r="H321" t="n">
        <v>0</v>
      </c>
      <c r="I321" t="n">
        <v>0</v>
      </c>
      <c r="J321" t="n">
        <v>0</v>
      </c>
      <c r="K321" t="n">
        <v>0</v>
      </c>
      <c r="L321" t="n">
        <v>0</v>
      </c>
      <c r="M321" t="n">
        <v>0</v>
      </c>
      <c r="N321" t="n">
        <v>0</v>
      </c>
      <c r="O321" t="n">
        <v>0</v>
      </c>
      <c r="P321" t="n">
        <v>0</v>
      </c>
      <c r="Q321" t="n">
        <v>0</v>
      </c>
      <c r="R321" s="2" t="inlineStr"/>
    </row>
    <row r="322" ht="15" customHeight="1">
      <c r="A322" t="inlineStr">
        <is>
          <t>A 66799-2020</t>
        </is>
      </c>
      <c r="B322" s="1" t="n">
        <v>44179</v>
      </c>
      <c r="C322" s="1" t="n">
        <v>45564</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67627-2020</t>
        </is>
      </c>
      <c r="B323" s="1" t="n">
        <v>44182</v>
      </c>
      <c r="C323" s="1" t="n">
        <v>45564</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69328-2020</t>
        </is>
      </c>
      <c r="B324" s="1" t="n">
        <v>44188</v>
      </c>
      <c r="C324" s="1" t="n">
        <v>45564</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69613-2020</t>
        </is>
      </c>
      <c r="B325" s="1" t="n">
        <v>44195</v>
      </c>
      <c r="C325" s="1" t="n">
        <v>45564</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3087-2021</t>
        </is>
      </c>
      <c r="B326" s="1" t="n">
        <v>44216</v>
      </c>
      <c r="C326" s="1" t="n">
        <v>45564</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3078-2021</t>
        </is>
      </c>
      <c r="B327" s="1" t="n">
        <v>44216</v>
      </c>
      <c r="C327" s="1" t="n">
        <v>45564</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3085-2021</t>
        </is>
      </c>
      <c r="B328" s="1" t="n">
        <v>44216</v>
      </c>
      <c r="C328" s="1" t="n">
        <v>45564</v>
      </c>
      <c r="D328" t="inlineStr">
        <is>
          <t>ÖREBRO LÄN</t>
        </is>
      </c>
      <c r="E328" t="inlineStr">
        <is>
          <t>ÖREBRO</t>
        </is>
      </c>
      <c r="G328" t="n">
        <v>2.9</v>
      </c>
      <c r="H328" t="n">
        <v>0</v>
      </c>
      <c r="I328" t="n">
        <v>0</v>
      </c>
      <c r="J328" t="n">
        <v>0</v>
      </c>
      <c r="K328" t="n">
        <v>0</v>
      </c>
      <c r="L328" t="n">
        <v>0</v>
      </c>
      <c r="M328" t="n">
        <v>0</v>
      </c>
      <c r="N328" t="n">
        <v>0</v>
      </c>
      <c r="O328" t="n">
        <v>0</v>
      </c>
      <c r="P328" t="n">
        <v>0</v>
      </c>
      <c r="Q328" t="n">
        <v>0</v>
      </c>
      <c r="R328" s="2" t="inlineStr"/>
    </row>
    <row r="329" ht="15" customHeight="1">
      <c r="A329" t="inlineStr">
        <is>
          <t>A 3081-2021</t>
        </is>
      </c>
      <c r="B329" s="1" t="n">
        <v>44216</v>
      </c>
      <c r="C329" s="1" t="n">
        <v>45564</v>
      </c>
      <c r="D329" t="inlineStr">
        <is>
          <t>ÖREBRO LÄN</t>
        </is>
      </c>
      <c r="E329" t="inlineStr">
        <is>
          <t>ÖREBRO</t>
        </is>
      </c>
      <c r="G329" t="n">
        <v>4.2</v>
      </c>
      <c r="H329" t="n">
        <v>0</v>
      </c>
      <c r="I329" t="n">
        <v>0</v>
      </c>
      <c r="J329" t="n">
        <v>0</v>
      </c>
      <c r="K329" t="n">
        <v>0</v>
      </c>
      <c r="L329" t="n">
        <v>0</v>
      </c>
      <c r="M329" t="n">
        <v>0</v>
      </c>
      <c r="N329" t="n">
        <v>0</v>
      </c>
      <c r="O329" t="n">
        <v>0</v>
      </c>
      <c r="P329" t="n">
        <v>0</v>
      </c>
      <c r="Q329" t="n">
        <v>0</v>
      </c>
      <c r="R329" s="2" t="inlineStr"/>
    </row>
    <row r="330" ht="15" customHeight="1">
      <c r="A330" t="inlineStr">
        <is>
          <t>A 4021-2021</t>
        </is>
      </c>
      <c r="B330" s="1" t="n">
        <v>44218</v>
      </c>
      <c r="C330" s="1" t="n">
        <v>45564</v>
      </c>
      <c r="D330" t="inlineStr">
        <is>
          <t>ÖREBRO LÄN</t>
        </is>
      </c>
      <c r="E330" t="inlineStr">
        <is>
          <t>ÖREBRO</t>
        </is>
      </c>
      <c r="G330" t="n">
        <v>5.3</v>
      </c>
      <c r="H330" t="n">
        <v>0</v>
      </c>
      <c r="I330" t="n">
        <v>0</v>
      </c>
      <c r="J330" t="n">
        <v>0</v>
      </c>
      <c r="K330" t="n">
        <v>0</v>
      </c>
      <c r="L330" t="n">
        <v>0</v>
      </c>
      <c r="M330" t="n">
        <v>0</v>
      </c>
      <c r="N330" t="n">
        <v>0</v>
      </c>
      <c r="O330" t="n">
        <v>0</v>
      </c>
      <c r="P330" t="n">
        <v>0</v>
      </c>
      <c r="Q330" t="n">
        <v>0</v>
      </c>
      <c r="R330" s="2" t="inlineStr"/>
    </row>
    <row r="331" ht="15" customHeight="1">
      <c r="A331" t="inlineStr">
        <is>
          <t>A 5708-2021</t>
        </is>
      </c>
      <c r="B331" s="1" t="n">
        <v>44230</v>
      </c>
      <c r="C331" s="1" t="n">
        <v>45564</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5946-2021</t>
        </is>
      </c>
      <c r="B332" s="1" t="n">
        <v>44230</v>
      </c>
      <c r="C332" s="1" t="n">
        <v>45564</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6213-2021</t>
        </is>
      </c>
      <c r="B333" s="1" t="n">
        <v>44232</v>
      </c>
      <c r="C333" s="1" t="n">
        <v>45564</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6212-2021</t>
        </is>
      </c>
      <c r="B334" s="1" t="n">
        <v>44232</v>
      </c>
      <c r="C334" s="1" t="n">
        <v>45564</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6387-2021</t>
        </is>
      </c>
      <c r="B335" s="1" t="n">
        <v>44235</v>
      </c>
      <c r="C335" s="1" t="n">
        <v>45564</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7117-2021</t>
        </is>
      </c>
      <c r="B336" s="1" t="n">
        <v>44238</v>
      </c>
      <c r="C336" s="1" t="n">
        <v>45564</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8263-2021</t>
        </is>
      </c>
      <c r="B337" s="1" t="n">
        <v>44244</v>
      </c>
      <c r="C337" s="1" t="n">
        <v>45564</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8331-2021</t>
        </is>
      </c>
      <c r="B338" s="1" t="n">
        <v>44244</v>
      </c>
      <c r="C338" s="1" t="n">
        <v>45564</v>
      </c>
      <c r="D338" t="inlineStr">
        <is>
          <t>ÖREBRO LÄN</t>
        </is>
      </c>
      <c r="E338" t="inlineStr">
        <is>
          <t>ÖREBRO</t>
        </is>
      </c>
      <c r="G338" t="n">
        <v>9.1</v>
      </c>
      <c r="H338" t="n">
        <v>0</v>
      </c>
      <c r="I338" t="n">
        <v>0</v>
      </c>
      <c r="J338" t="n">
        <v>0</v>
      </c>
      <c r="K338" t="n">
        <v>0</v>
      </c>
      <c r="L338" t="n">
        <v>0</v>
      </c>
      <c r="M338" t="n">
        <v>0</v>
      </c>
      <c r="N338" t="n">
        <v>0</v>
      </c>
      <c r="O338" t="n">
        <v>0</v>
      </c>
      <c r="P338" t="n">
        <v>0</v>
      </c>
      <c r="Q338" t="n">
        <v>0</v>
      </c>
      <c r="R338" s="2" t="inlineStr"/>
    </row>
    <row r="339" ht="15" customHeight="1">
      <c r="A339" t="inlineStr">
        <is>
          <t>A 8375-2021</t>
        </is>
      </c>
      <c r="B339" s="1" t="n">
        <v>44244</v>
      </c>
      <c r="C339" s="1" t="n">
        <v>45564</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8332-2021</t>
        </is>
      </c>
      <c r="B340" s="1" t="n">
        <v>44244</v>
      </c>
      <c r="C340" s="1" t="n">
        <v>45564</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8374-2021</t>
        </is>
      </c>
      <c r="B341" s="1" t="n">
        <v>44244</v>
      </c>
      <c r="C341" s="1" t="n">
        <v>45564</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8543-2021</t>
        </is>
      </c>
      <c r="B342" s="1" t="n">
        <v>44245</v>
      </c>
      <c r="C342" s="1" t="n">
        <v>45564</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8565-2021</t>
        </is>
      </c>
      <c r="B343" s="1" t="n">
        <v>44245</v>
      </c>
      <c r="C343" s="1" t="n">
        <v>45564</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8571-2021</t>
        </is>
      </c>
      <c r="B344" s="1" t="n">
        <v>44245</v>
      </c>
      <c r="C344" s="1" t="n">
        <v>45564</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8568-2021</t>
        </is>
      </c>
      <c r="B345" s="1" t="n">
        <v>44245</v>
      </c>
      <c r="C345" s="1" t="n">
        <v>45564</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8575-2021</t>
        </is>
      </c>
      <c r="B346" s="1" t="n">
        <v>44245</v>
      </c>
      <c r="C346" s="1" t="n">
        <v>45564</v>
      </c>
      <c r="D346" t="inlineStr">
        <is>
          <t>ÖREBRO LÄN</t>
        </is>
      </c>
      <c r="E346" t="inlineStr">
        <is>
          <t>ÖREBRO</t>
        </is>
      </c>
      <c r="G346" t="n">
        <v>3.4</v>
      </c>
      <c r="H346" t="n">
        <v>0</v>
      </c>
      <c r="I346" t="n">
        <v>0</v>
      </c>
      <c r="J346" t="n">
        <v>0</v>
      </c>
      <c r="K346" t="n">
        <v>0</v>
      </c>
      <c r="L346" t="n">
        <v>0</v>
      </c>
      <c r="M346" t="n">
        <v>0</v>
      </c>
      <c r="N346" t="n">
        <v>0</v>
      </c>
      <c r="O346" t="n">
        <v>0</v>
      </c>
      <c r="P346" t="n">
        <v>0</v>
      </c>
      <c r="Q346" t="n">
        <v>0</v>
      </c>
      <c r="R346" s="2" t="inlineStr"/>
    </row>
    <row r="347" ht="15" customHeight="1">
      <c r="A347" t="inlineStr">
        <is>
          <t>A 9406-2021</t>
        </is>
      </c>
      <c r="B347" s="1" t="n">
        <v>44251</v>
      </c>
      <c r="C347" s="1" t="n">
        <v>45564</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10368-2021</t>
        </is>
      </c>
      <c r="B348" s="1" t="n">
        <v>44257</v>
      </c>
      <c r="C348" s="1" t="n">
        <v>45564</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12433-2021</t>
        </is>
      </c>
      <c r="B349" s="1" t="n">
        <v>44267</v>
      </c>
      <c r="C349" s="1" t="n">
        <v>45564</v>
      </c>
      <c r="D349" t="inlineStr">
        <is>
          <t>ÖREBRO LÄN</t>
        </is>
      </c>
      <c r="E349" t="inlineStr">
        <is>
          <t>ÖREBRO</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12871-2021</t>
        </is>
      </c>
      <c r="B350" s="1" t="n">
        <v>44271</v>
      </c>
      <c r="C350" s="1" t="n">
        <v>45564</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13193-2021</t>
        </is>
      </c>
      <c r="B351" s="1" t="n">
        <v>44272</v>
      </c>
      <c r="C351" s="1" t="n">
        <v>45564</v>
      </c>
      <c r="D351" t="inlineStr">
        <is>
          <t>ÖREBRO LÄN</t>
        </is>
      </c>
      <c r="E351" t="inlineStr">
        <is>
          <t>ÖREBRO</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13760-2021</t>
        </is>
      </c>
      <c r="B352" s="1" t="n">
        <v>44274</v>
      </c>
      <c r="C352" s="1" t="n">
        <v>45564</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14064-2021</t>
        </is>
      </c>
      <c r="B353" s="1" t="n">
        <v>44277</v>
      </c>
      <c r="C353" s="1" t="n">
        <v>45564</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14239-2021</t>
        </is>
      </c>
      <c r="B354" s="1" t="n">
        <v>44278</v>
      </c>
      <c r="C354" s="1" t="n">
        <v>45564</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15574-2021</t>
        </is>
      </c>
      <c r="B355" s="1" t="n">
        <v>44285</v>
      </c>
      <c r="C355" s="1" t="n">
        <v>45564</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15571-2021</t>
        </is>
      </c>
      <c r="B356" s="1" t="n">
        <v>44285</v>
      </c>
      <c r="C356" s="1" t="n">
        <v>45564</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16260-2021</t>
        </is>
      </c>
      <c r="B357" s="1" t="n">
        <v>44292</v>
      </c>
      <c r="C357" s="1" t="n">
        <v>45564</v>
      </c>
      <c r="D357" t="inlineStr">
        <is>
          <t>ÖREBRO LÄN</t>
        </is>
      </c>
      <c r="E357" t="inlineStr">
        <is>
          <t>ÖREBRO</t>
        </is>
      </c>
      <c r="G357" t="n">
        <v>3.2</v>
      </c>
      <c r="H357" t="n">
        <v>0</v>
      </c>
      <c r="I357" t="n">
        <v>0</v>
      </c>
      <c r="J357" t="n">
        <v>0</v>
      </c>
      <c r="K357" t="n">
        <v>0</v>
      </c>
      <c r="L357" t="n">
        <v>0</v>
      </c>
      <c r="M357" t="n">
        <v>0</v>
      </c>
      <c r="N357" t="n">
        <v>0</v>
      </c>
      <c r="O357" t="n">
        <v>0</v>
      </c>
      <c r="P357" t="n">
        <v>0</v>
      </c>
      <c r="Q357" t="n">
        <v>0</v>
      </c>
      <c r="R357" s="2" t="inlineStr"/>
    </row>
    <row r="358" ht="15" customHeight="1">
      <c r="A358" t="inlineStr">
        <is>
          <t>A 16785-2021</t>
        </is>
      </c>
      <c r="B358" s="1" t="n">
        <v>44295</v>
      </c>
      <c r="C358" s="1" t="n">
        <v>45564</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19468-2021</t>
        </is>
      </c>
      <c r="B359" s="1" t="n">
        <v>44311</v>
      </c>
      <c r="C359" s="1" t="n">
        <v>45564</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19803-2021</t>
        </is>
      </c>
      <c r="B360" s="1" t="n">
        <v>44313</v>
      </c>
      <c r="C360" s="1" t="n">
        <v>45564</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19831-2021</t>
        </is>
      </c>
      <c r="B361" s="1" t="n">
        <v>44313</v>
      </c>
      <c r="C361" s="1" t="n">
        <v>45564</v>
      </c>
      <c r="D361" t="inlineStr">
        <is>
          <t>ÖREBRO LÄN</t>
        </is>
      </c>
      <c r="E361" t="inlineStr">
        <is>
          <t>ÖREBRO</t>
        </is>
      </c>
      <c r="G361" t="n">
        <v>10.4</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45564</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23606-2021</t>
        </is>
      </c>
      <c r="B363" s="1" t="n">
        <v>44334</v>
      </c>
      <c r="C363" s="1" t="n">
        <v>45564</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24818-2021</t>
        </is>
      </c>
      <c r="B364" s="1" t="n">
        <v>44340</v>
      </c>
      <c r="C364" s="1" t="n">
        <v>45564</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25407-2021</t>
        </is>
      </c>
      <c r="B365" s="1" t="n">
        <v>44342</v>
      </c>
      <c r="C365" s="1" t="n">
        <v>45564</v>
      </c>
      <c r="D365" t="inlineStr">
        <is>
          <t>ÖREBRO LÄN</t>
        </is>
      </c>
      <c r="E365" t="inlineStr">
        <is>
          <t>ÖREBRO</t>
        </is>
      </c>
      <c r="F365" t="inlineStr">
        <is>
          <t>Kommuner</t>
        </is>
      </c>
      <c r="G365" t="n">
        <v>7.2</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45564</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25660-2021</t>
        </is>
      </c>
      <c r="B367" s="1" t="n">
        <v>44343</v>
      </c>
      <c r="C367" s="1" t="n">
        <v>45564</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25778-2021</t>
        </is>
      </c>
      <c r="B368" s="1" t="n">
        <v>44343</v>
      </c>
      <c r="C368" s="1" t="n">
        <v>45564</v>
      </c>
      <c r="D368" t="inlineStr">
        <is>
          <t>ÖREBRO LÄN</t>
        </is>
      </c>
      <c r="E368" t="inlineStr">
        <is>
          <t>ÖREBRO</t>
        </is>
      </c>
      <c r="F368" t="inlineStr">
        <is>
          <t>Övriga Aktiebolag</t>
        </is>
      </c>
      <c r="G368" t="n">
        <v>11.3</v>
      </c>
      <c r="H368" t="n">
        <v>0</v>
      </c>
      <c r="I368" t="n">
        <v>0</v>
      </c>
      <c r="J368" t="n">
        <v>0</v>
      </c>
      <c r="K368" t="n">
        <v>0</v>
      </c>
      <c r="L368" t="n">
        <v>0</v>
      </c>
      <c r="M368" t="n">
        <v>0</v>
      </c>
      <c r="N368" t="n">
        <v>0</v>
      </c>
      <c r="O368" t="n">
        <v>0</v>
      </c>
      <c r="P368" t="n">
        <v>0</v>
      </c>
      <c r="Q368" t="n">
        <v>0</v>
      </c>
      <c r="R368" s="2" t="inlineStr"/>
    </row>
    <row r="369" ht="15" customHeight="1">
      <c r="A369" t="inlineStr">
        <is>
          <t>A 26118-2021</t>
        </is>
      </c>
      <c r="B369" s="1" t="n">
        <v>44345</v>
      </c>
      <c r="C369" s="1" t="n">
        <v>45564</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26119-2021</t>
        </is>
      </c>
      <c r="B370" s="1" t="n">
        <v>44345</v>
      </c>
      <c r="C370" s="1" t="n">
        <v>45564</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26117-2021</t>
        </is>
      </c>
      <c r="B371" s="1" t="n">
        <v>44345</v>
      </c>
      <c r="C371" s="1" t="n">
        <v>45564</v>
      </c>
      <c r="D371" t="inlineStr">
        <is>
          <t>ÖREBRO LÄN</t>
        </is>
      </c>
      <c r="E371" t="inlineStr">
        <is>
          <t>ÖREBRO</t>
        </is>
      </c>
      <c r="G371" t="n">
        <v>8.1</v>
      </c>
      <c r="H371" t="n">
        <v>0</v>
      </c>
      <c r="I371" t="n">
        <v>0</v>
      </c>
      <c r="J371" t="n">
        <v>0</v>
      </c>
      <c r="K371" t="n">
        <v>0</v>
      </c>
      <c r="L371" t="n">
        <v>0</v>
      </c>
      <c r="M371" t="n">
        <v>0</v>
      </c>
      <c r="N371" t="n">
        <v>0</v>
      </c>
      <c r="O371" t="n">
        <v>0</v>
      </c>
      <c r="P371" t="n">
        <v>0</v>
      </c>
      <c r="Q371" t="n">
        <v>0</v>
      </c>
      <c r="R371" s="2" t="inlineStr"/>
    </row>
    <row r="372" ht="15" customHeight="1">
      <c r="A372" t="inlineStr">
        <is>
          <t>A 26153-2021</t>
        </is>
      </c>
      <c r="B372" s="1" t="n">
        <v>44347</v>
      </c>
      <c r="C372" s="1" t="n">
        <v>45564</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45564</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26509-2021</t>
        </is>
      </c>
      <c r="B374" s="1" t="n">
        <v>44348</v>
      </c>
      <c r="C374" s="1" t="n">
        <v>45564</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27141-2021</t>
        </is>
      </c>
      <c r="B375" s="1" t="n">
        <v>44350</v>
      </c>
      <c r="C375" s="1" t="n">
        <v>45564</v>
      </c>
      <c r="D375" t="inlineStr">
        <is>
          <t>ÖREBRO LÄN</t>
        </is>
      </c>
      <c r="E375" t="inlineStr">
        <is>
          <t>ÖREBRO</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28689-2021</t>
        </is>
      </c>
      <c r="B376" s="1" t="n">
        <v>44357</v>
      </c>
      <c r="C376" s="1" t="n">
        <v>45564</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28870-2021</t>
        </is>
      </c>
      <c r="B377" s="1" t="n">
        <v>44357</v>
      </c>
      <c r="C377" s="1" t="n">
        <v>45564</v>
      </c>
      <c r="D377" t="inlineStr">
        <is>
          <t>ÖREBRO LÄN</t>
        </is>
      </c>
      <c r="E377" t="inlineStr">
        <is>
          <t>ÖREBRO</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29033-2021</t>
        </is>
      </c>
      <c r="B378" s="1" t="n">
        <v>44358</v>
      </c>
      <c r="C378" s="1" t="n">
        <v>45564</v>
      </c>
      <c r="D378" t="inlineStr">
        <is>
          <t>ÖREBRO LÄN</t>
        </is>
      </c>
      <c r="E378" t="inlineStr">
        <is>
          <t>ÖREBRO</t>
        </is>
      </c>
      <c r="F378" t="inlineStr">
        <is>
          <t>Kommuner</t>
        </is>
      </c>
      <c r="G378" t="n">
        <v>3.7</v>
      </c>
      <c r="H378" t="n">
        <v>0</v>
      </c>
      <c r="I378" t="n">
        <v>0</v>
      </c>
      <c r="J378" t="n">
        <v>0</v>
      </c>
      <c r="K378" t="n">
        <v>0</v>
      </c>
      <c r="L378" t="n">
        <v>0</v>
      </c>
      <c r="M378" t="n">
        <v>0</v>
      </c>
      <c r="N378" t="n">
        <v>0</v>
      </c>
      <c r="O378" t="n">
        <v>0</v>
      </c>
      <c r="P378" t="n">
        <v>0</v>
      </c>
      <c r="Q378" t="n">
        <v>0</v>
      </c>
      <c r="R378" s="2" t="inlineStr"/>
    </row>
    <row r="379" ht="15" customHeight="1">
      <c r="A379" t="inlineStr">
        <is>
          <t>A 31235-2021</t>
        </is>
      </c>
      <c r="B379" s="1" t="n">
        <v>44368</v>
      </c>
      <c r="C379" s="1" t="n">
        <v>45564</v>
      </c>
      <c r="D379" t="inlineStr">
        <is>
          <t>ÖREBRO LÄN</t>
        </is>
      </c>
      <c r="E379" t="inlineStr">
        <is>
          <t>ÖREBRO</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33779-2021</t>
        </is>
      </c>
      <c r="B380" s="1" t="n">
        <v>44378</v>
      </c>
      <c r="C380" s="1" t="n">
        <v>45564</v>
      </c>
      <c r="D380" t="inlineStr">
        <is>
          <t>ÖREBRO LÄN</t>
        </is>
      </c>
      <c r="E380" t="inlineStr">
        <is>
          <t>ÖREBRO</t>
        </is>
      </c>
      <c r="F380" t="inlineStr">
        <is>
          <t>Kommuner</t>
        </is>
      </c>
      <c r="G380" t="n">
        <v>4.5</v>
      </c>
      <c r="H380" t="n">
        <v>0</v>
      </c>
      <c r="I380" t="n">
        <v>0</v>
      </c>
      <c r="J380" t="n">
        <v>0</v>
      </c>
      <c r="K380" t="n">
        <v>0</v>
      </c>
      <c r="L380" t="n">
        <v>0</v>
      </c>
      <c r="M380" t="n">
        <v>0</v>
      </c>
      <c r="N380" t="n">
        <v>0</v>
      </c>
      <c r="O380" t="n">
        <v>0</v>
      </c>
      <c r="P380" t="n">
        <v>0</v>
      </c>
      <c r="Q380" t="n">
        <v>0</v>
      </c>
      <c r="R380" s="2" t="inlineStr"/>
    </row>
    <row r="381" ht="15" customHeight="1">
      <c r="A381" t="inlineStr">
        <is>
          <t>A 33814-2021</t>
        </is>
      </c>
      <c r="B381" s="1" t="n">
        <v>44378</v>
      </c>
      <c r="C381" s="1" t="n">
        <v>45564</v>
      </c>
      <c r="D381" t="inlineStr">
        <is>
          <t>ÖREBRO LÄN</t>
        </is>
      </c>
      <c r="E381" t="inlineStr">
        <is>
          <t>ÖREBRO</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33865-2021</t>
        </is>
      </c>
      <c r="B382" s="1" t="n">
        <v>44378</v>
      </c>
      <c r="C382" s="1" t="n">
        <v>45564</v>
      </c>
      <c r="D382" t="inlineStr">
        <is>
          <t>ÖREBRO LÄN</t>
        </is>
      </c>
      <c r="E382" t="inlineStr">
        <is>
          <t>ÖREBRO</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35836-2021</t>
        </is>
      </c>
      <c r="B383" s="1" t="n">
        <v>44386</v>
      </c>
      <c r="C383" s="1" t="n">
        <v>45564</v>
      </c>
      <c r="D383" t="inlineStr">
        <is>
          <t>ÖREBRO LÄN</t>
        </is>
      </c>
      <c r="E383" t="inlineStr">
        <is>
          <t>ÖREBRO</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37395-2021</t>
        </is>
      </c>
      <c r="B384" s="1" t="n">
        <v>44398</v>
      </c>
      <c r="C384" s="1" t="n">
        <v>45564</v>
      </c>
      <c r="D384" t="inlineStr">
        <is>
          <t>ÖREBRO LÄN</t>
        </is>
      </c>
      <c r="E384" t="inlineStr">
        <is>
          <t>ÖREBRO</t>
        </is>
      </c>
      <c r="G384" t="n">
        <v>3</v>
      </c>
      <c r="H384" t="n">
        <v>0</v>
      </c>
      <c r="I384" t="n">
        <v>0</v>
      </c>
      <c r="J384" t="n">
        <v>0</v>
      </c>
      <c r="K384" t="n">
        <v>0</v>
      </c>
      <c r="L384" t="n">
        <v>0</v>
      </c>
      <c r="M384" t="n">
        <v>0</v>
      </c>
      <c r="N384" t="n">
        <v>0</v>
      </c>
      <c r="O384" t="n">
        <v>0</v>
      </c>
      <c r="P384" t="n">
        <v>0</v>
      </c>
      <c r="Q384" t="n">
        <v>0</v>
      </c>
      <c r="R384" s="2" t="inlineStr"/>
    </row>
    <row r="385" ht="15" customHeight="1">
      <c r="A385" t="inlineStr">
        <is>
          <t>A 38133-2021</t>
        </is>
      </c>
      <c r="B385" s="1" t="n">
        <v>44404</v>
      </c>
      <c r="C385" s="1" t="n">
        <v>45564</v>
      </c>
      <c r="D385" t="inlineStr">
        <is>
          <t>ÖREBRO LÄN</t>
        </is>
      </c>
      <c r="E385" t="inlineStr">
        <is>
          <t>ÖREBRO</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40312-2021</t>
        </is>
      </c>
      <c r="B386" s="1" t="n">
        <v>44419</v>
      </c>
      <c r="C386" s="1" t="n">
        <v>45564</v>
      </c>
      <c r="D386" t="inlineStr">
        <is>
          <t>ÖREBRO LÄN</t>
        </is>
      </c>
      <c r="E386" t="inlineStr">
        <is>
          <t>ÖREBRO</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40597-2021</t>
        </is>
      </c>
      <c r="B387" s="1" t="n">
        <v>44420</v>
      </c>
      <c r="C387" s="1" t="n">
        <v>45564</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40605-2021</t>
        </is>
      </c>
      <c r="B388" s="1" t="n">
        <v>44420</v>
      </c>
      <c r="C388" s="1" t="n">
        <v>45564</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40588-2021</t>
        </is>
      </c>
      <c r="B389" s="1" t="n">
        <v>44420</v>
      </c>
      <c r="C389" s="1" t="n">
        <v>45564</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41326-2021</t>
        </is>
      </c>
      <c r="B390" s="1" t="n">
        <v>44424</v>
      </c>
      <c r="C390" s="1" t="n">
        <v>45564</v>
      </c>
      <c r="D390" t="inlineStr">
        <is>
          <t>ÖREBRO LÄN</t>
        </is>
      </c>
      <c r="E390" t="inlineStr">
        <is>
          <t>ÖREBRO</t>
        </is>
      </c>
      <c r="G390" t="n">
        <v>5.9</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v>
      </c>
      <c r="C391" s="1" t="n">
        <v>45564</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42777-2021</t>
        </is>
      </c>
      <c r="B392" s="1" t="n">
        <v>44428</v>
      </c>
      <c r="C392" s="1" t="n">
        <v>45564</v>
      </c>
      <c r="D392" t="inlineStr">
        <is>
          <t>ÖREBRO LÄN</t>
        </is>
      </c>
      <c r="E392" t="inlineStr">
        <is>
          <t>ÖREBRO</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44043-2021</t>
        </is>
      </c>
      <c r="B393" s="1" t="n">
        <v>44434</v>
      </c>
      <c r="C393" s="1" t="n">
        <v>45564</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44146-2021</t>
        </is>
      </c>
      <c r="B394" s="1" t="n">
        <v>44434</v>
      </c>
      <c r="C394" s="1" t="n">
        <v>45564</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44560-2021</t>
        </is>
      </c>
      <c r="B395" s="1" t="n">
        <v>44435</v>
      </c>
      <c r="C395" s="1" t="n">
        <v>45564</v>
      </c>
      <c r="D395" t="inlineStr">
        <is>
          <t>ÖREBRO LÄN</t>
        </is>
      </c>
      <c r="E395" t="inlineStr">
        <is>
          <t>ÖREBRO</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46757-2021</t>
        </is>
      </c>
      <c r="B396" s="1" t="n">
        <v>44445</v>
      </c>
      <c r="C396" s="1" t="n">
        <v>45564</v>
      </c>
      <c r="D396" t="inlineStr">
        <is>
          <t>ÖREBRO LÄN</t>
        </is>
      </c>
      <c r="E396" t="inlineStr">
        <is>
          <t>ÖREBRO</t>
        </is>
      </c>
      <c r="G396" t="n">
        <v>5.6</v>
      </c>
      <c r="H396" t="n">
        <v>0</v>
      </c>
      <c r="I396" t="n">
        <v>0</v>
      </c>
      <c r="J396" t="n">
        <v>0</v>
      </c>
      <c r="K396" t="n">
        <v>0</v>
      </c>
      <c r="L396" t="n">
        <v>0</v>
      </c>
      <c r="M396" t="n">
        <v>0</v>
      </c>
      <c r="N396" t="n">
        <v>0</v>
      </c>
      <c r="O396" t="n">
        <v>0</v>
      </c>
      <c r="P396" t="n">
        <v>0</v>
      </c>
      <c r="Q396" t="n">
        <v>0</v>
      </c>
      <c r="R396" s="2" t="inlineStr"/>
    </row>
    <row r="397" ht="15" customHeight="1">
      <c r="A397" t="inlineStr">
        <is>
          <t>A 47130-2021</t>
        </is>
      </c>
      <c r="B397" s="1" t="n">
        <v>44446</v>
      </c>
      <c r="C397" s="1" t="n">
        <v>45564</v>
      </c>
      <c r="D397" t="inlineStr">
        <is>
          <t>ÖREBRO LÄN</t>
        </is>
      </c>
      <c r="E397" t="inlineStr">
        <is>
          <t>ÖREBRO</t>
        </is>
      </c>
      <c r="G397" t="n">
        <v>7.9</v>
      </c>
      <c r="H397" t="n">
        <v>0</v>
      </c>
      <c r="I397" t="n">
        <v>0</v>
      </c>
      <c r="J397" t="n">
        <v>0</v>
      </c>
      <c r="K397" t="n">
        <v>0</v>
      </c>
      <c r="L397" t="n">
        <v>0</v>
      </c>
      <c r="M397" t="n">
        <v>0</v>
      </c>
      <c r="N397" t="n">
        <v>0</v>
      </c>
      <c r="O397" t="n">
        <v>0</v>
      </c>
      <c r="P397" t="n">
        <v>0</v>
      </c>
      <c r="Q397" t="n">
        <v>0</v>
      </c>
      <c r="R397" s="2" t="inlineStr"/>
    </row>
    <row r="398" ht="15" customHeight="1">
      <c r="A398" t="inlineStr">
        <is>
          <t>A 47973-2021</t>
        </is>
      </c>
      <c r="B398" s="1" t="n">
        <v>44449</v>
      </c>
      <c r="C398" s="1" t="n">
        <v>45564</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49016-2021</t>
        </is>
      </c>
      <c r="B399" s="1" t="n">
        <v>44453</v>
      </c>
      <c r="C399" s="1" t="n">
        <v>45564</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51429-2021</t>
        </is>
      </c>
      <c r="B400" s="1" t="n">
        <v>44462</v>
      </c>
      <c r="C400" s="1" t="n">
        <v>45564</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52352-2021</t>
        </is>
      </c>
      <c r="B401" s="1" t="n">
        <v>44464</v>
      </c>
      <c r="C401" s="1" t="n">
        <v>45564</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55487-2021</t>
        </is>
      </c>
      <c r="B402" s="1" t="n">
        <v>44475</v>
      </c>
      <c r="C402" s="1" t="n">
        <v>45564</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57343-2021</t>
        </is>
      </c>
      <c r="B403" s="1" t="n">
        <v>44482</v>
      </c>
      <c r="C403" s="1" t="n">
        <v>45564</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57498-2021</t>
        </is>
      </c>
      <c r="B404" s="1" t="n">
        <v>44483</v>
      </c>
      <c r="C404" s="1" t="n">
        <v>45564</v>
      </c>
      <c r="D404" t="inlineStr">
        <is>
          <t>ÖREBRO LÄN</t>
        </is>
      </c>
      <c r="E404" t="inlineStr">
        <is>
          <t>ÖREBRO</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58138-2021</t>
        </is>
      </c>
      <c r="B405" s="1" t="n">
        <v>44487</v>
      </c>
      <c r="C405" s="1" t="n">
        <v>45564</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59584-2021</t>
        </is>
      </c>
      <c r="B406" s="1" t="n">
        <v>44491</v>
      </c>
      <c r="C406" s="1" t="n">
        <v>45564</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61232-2021</t>
        </is>
      </c>
      <c r="B407" s="1" t="n">
        <v>44498</v>
      </c>
      <c r="C407" s="1" t="n">
        <v>45564</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62794-2021</t>
        </is>
      </c>
      <c r="B408" s="1" t="n">
        <v>44504</v>
      </c>
      <c r="C408" s="1" t="n">
        <v>45564</v>
      </c>
      <c r="D408" t="inlineStr">
        <is>
          <t>ÖREBRO LÄN</t>
        </is>
      </c>
      <c r="E408" t="inlineStr">
        <is>
          <t>ÖREBRO</t>
        </is>
      </c>
      <c r="G408" t="n">
        <v>3.3</v>
      </c>
      <c r="H408" t="n">
        <v>0</v>
      </c>
      <c r="I408" t="n">
        <v>0</v>
      </c>
      <c r="J408" t="n">
        <v>0</v>
      </c>
      <c r="K408" t="n">
        <v>0</v>
      </c>
      <c r="L408" t="n">
        <v>0</v>
      </c>
      <c r="M408" t="n">
        <v>0</v>
      </c>
      <c r="N408" t="n">
        <v>0</v>
      </c>
      <c r="O408" t="n">
        <v>0</v>
      </c>
      <c r="P408" t="n">
        <v>0</v>
      </c>
      <c r="Q408" t="n">
        <v>0</v>
      </c>
      <c r="R408" s="2" t="inlineStr"/>
    </row>
    <row r="409" ht="15" customHeight="1">
      <c r="A409" t="inlineStr">
        <is>
          <t>A 63247-2021</t>
        </is>
      </c>
      <c r="B409" s="1" t="n">
        <v>44505</v>
      </c>
      <c r="C409" s="1" t="n">
        <v>45564</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63890-2021</t>
        </is>
      </c>
      <c r="B410" s="1" t="n">
        <v>44509</v>
      </c>
      <c r="C410" s="1" t="n">
        <v>45564</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64523-2021</t>
        </is>
      </c>
      <c r="B411" s="1" t="n">
        <v>44511</v>
      </c>
      <c r="C411" s="1" t="n">
        <v>45564</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66000-2021</t>
        </is>
      </c>
      <c r="B412" s="1" t="n">
        <v>44517</v>
      </c>
      <c r="C412" s="1" t="n">
        <v>45564</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66559-2021</t>
        </is>
      </c>
      <c r="B413" s="1" t="n">
        <v>44519</v>
      </c>
      <c r="C413" s="1" t="n">
        <v>45564</v>
      </c>
      <c r="D413" t="inlineStr">
        <is>
          <t>ÖREBRO LÄN</t>
        </is>
      </c>
      <c r="E413" t="inlineStr">
        <is>
          <t>ÖREBRO</t>
        </is>
      </c>
      <c r="F413" t="inlineStr">
        <is>
          <t>Allmännings- och besparingsskogar</t>
        </is>
      </c>
      <c r="G413" t="n">
        <v>4.3</v>
      </c>
      <c r="H413" t="n">
        <v>0</v>
      </c>
      <c r="I413" t="n">
        <v>0</v>
      </c>
      <c r="J413" t="n">
        <v>0</v>
      </c>
      <c r="K413" t="n">
        <v>0</v>
      </c>
      <c r="L413" t="n">
        <v>0</v>
      </c>
      <c r="M413" t="n">
        <v>0</v>
      </c>
      <c r="N413" t="n">
        <v>0</v>
      </c>
      <c r="O413" t="n">
        <v>0</v>
      </c>
      <c r="P413" t="n">
        <v>0</v>
      </c>
      <c r="Q413" t="n">
        <v>0</v>
      </c>
      <c r="R413" s="2" t="inlineStr"/>
    </row>
    <row r="414" ht="15" customHeight="1">
      <c r="A414" t="inlineStr">
        <is>
          <t>A 66936-2021</t>
        </is>
      </c>
      <c r="B414" s="1" t="n">
        <v>44522</v>
      </c>
      <c r="C414" s="1" t="n">
        <v>45564</v>
      </c>
      <c r="D414" t="inlineStr">
        <is>
          <t>ÖREBRO LÄN</t>
        </is>
      </c>
      <c r="E414" t="inlineStr">
        <is>
          <t>ÖREBRO</t>
        </is>
      </c>
      <c r="G414" t="n">
        <v>6.8</v>
      </c>
      <c r="H414" t="n">
        <v>0</v>
      </c>
      <c r="I414" t="n">
        <v>0</v>
      </c>
      <c r="J414" t="n">
        <v>0</v>
      </c>
      <c r="K414" t="n">
        <v>0</v>
      </c>
      <c r="L414" t="n">
        <v>0</v>
      </c>
      <c r="M414" t="n">
        <v>0</v>
      </c>
      <c r="N414" t="n">
        <v>0</v>
      </c>
      <c r="O414" t="n">
        <v>0</v>
      </c>
      <c r="P414" t="n">
        <v>0</v>
      </c>
      <c r="Q414" t="n">
        <v>0</v>
      </c>
      <c r="R414" s="2" t="inlineStr"/>
    </row>
    <row r="415" ht="15" customHeight="1">
      <c r="A415" t="inlineStr">
        <is>
          <t>A 66970-2021</t>
        </is>
      </c>
      <c r="B415" s="1" t="n">
        <v>44522</v>
      </c>
      <c r="C415" s="1" t="n">
        <v>45564</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69733-2021</t>
        </is>
      </c>
      <c r="B416" s="1" t="n">
        <v>44532</v>
      </c>
      <c r="C416" s="1" t="n">
        <v>45564</v>
      </c>
      <c r="D416" t="inlineStr">
        <is>
          <t>ÖREBRO LÄN</t>
        </is>
      </c>
      <c r="E416" t="inlineStr">
        <is>
          <t>ÖREBRO</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70199-2021</t>
        </is>
      </c>
      <c r="B417" s="1" t="n">
        <v>44534</v>
      </c>
      <c r="C417" s="1" t="n">
        <v>45564</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70289-2021</t>
        </is>
      </c>
      <c r="B418" s="1" t="n">
        <v>44536</v>
      </c>
      <c r="C418" s="1" t="n">
        <v>45564</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70707-2021</t>
        </is>
      </c>
      <c r="B419" s="1" t="n">
        <v>44537</v>
      </c>
      <c r="C419" s="1" t="n">
        <v>45564</v>
      </c>
      <c r="D419" t="inlineStr">
        <is>
          <t>ÖREBRO LÄN</t>
        </is>
      </c>
      <c r="E419" t="inlineStr">
        <is>
          <t>ÖREBRO</t>
        </is>
      </c>
      <c r="G419" t="n">
        <v>13.2</v>
      </c>
      <c r="H419" t="n">
        <v>0</v>
      </c>
      <c r="I419" t="n">
        <v>0</v>
      </c>
      <c r="J419" t="n">
        <v>0</v>
      </c>
      <c r="K419" t="n">
        <v>0</v>
      </c>
      <c r="L419" t="n">
        <v>0</v>
      </c>
      <c r="M419" t="n">
        <v>0</v>
      </c>
      <c r="N419" t="n">
        <v>0</v>
      </c>
      <c r="O419" t="n">
        <v>0</v>
      </c>
      <c r="P419" t="n">
        <v>0</v>
      </c>
      <c r="Q419" t="n">
        <v>0</v>
      </c>
      <c r="R419" s="2" t="inlineStr"/>
    </row>
    <row r="420" ht="15" customHeight="1">
      <c r="A420" t="inlineStr">
        <is>
          <t>A 70719-2021</t>
        </is>
      </c>
      <c r="B420" s="1" t="n">
        <v>44537</v>
      </c>
      <c r="C420" s="1" t="n">
        <v>45564</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70540-2021</t>
        </is>
      </c>
      <c r="B421" s="1" t="n">
        <v>44537</v>
      </c>
      <c r="C421" s="1" t="n">
        <v>45564</v>
      </c>
      <c r="D421" t="inlineStr">
        <is>
          <t>ÖREBRO LÄN</t>
        </is>
      </c>
      <c r="E421" t="inlineStr">
        <is>
          <t>ÖREBRO</t>
        </is>
      </c>
      <c r="G421" t="n">
        <v>7.1</v>
      </c>
      <c r="H421" t="n">
        <v>0</v>
      </c>
      <c r="I421" t="n">
        <v>0</v>
      </c>
      <c r="J421" t="n">
        <v>0</v>
      </c>
      <c r="K421" t="n">
        <v>0</v>
      </c>
      <c r="L421" t="n">
        <v>0</v>
      </c>
      <c r="M421" t="n">
        <v>0</v>
      </c>
      <c r="N421" t="n">
        <v>0</v>
      </c>
      <c r="O421" t="n">
        <v>0</v>
      </c>
      <c r="P421" t="n">
        <v>0</v>
      </c>
      <c r="Q421" t="n">
        <v>0</v>
      </c>
      <c r="R421" s="2" t="inlineStr"/>
    </row>
    <row r="422" ht="15" customHeight="1">
      <c r="A422" t="inlineStr">
        <is>
          <t>A 70871-2021</t>
        </is>
      </c>
      <c r="B422" s="1" t="n">
        <v>44538</v>
      </c>
      <c r="C422" s="1" t="n">
        <v>45564</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71206-2021</t>
        </is>
      </c>
      <c r="B423" s="1" t="n">
        <v>44539</v>
      </c>
      <c r="C423" s="1" t="n">
        <v>45564</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71269-2021</t>
        </is>
      </c>
      <c r="B424" s="1" t="n">
        <v>44539</v>
      </c>
      <c r="C424" s="1" t="n">
        <v>45564</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71293-2021</t>
        </is>
      </c>
      <c r="B425" s="1" t="n">
        <v>44539</v>
      </c>
      <c r="C425" s="1" t="n">
        <v>45564</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71267-2021</t>
        </is>
      </c>
      <c r="B426" s="1" t="n">
        <v>44539</v>
      </c>
      <c r="C426" s="1" t="n">
        <v>45564</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71266-2021</t>
        </is>
      </c>
      <c r="B427" s="1" t="n">
        <v>44539</v>
      </c>
      <c r="C427" s="1" t="n">
        <v>45564</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71275-2021</t>
        </is>
      </c>
      <c r="B428" s="1" t="n">
        <v>44539</v>
      </c>
      <c r="C428" s="1" t="n">
        <v>45564</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71288-2021</t>
        </is>
      </c>
      <c r="B429" s="1" t="n">
        <v>44539</v>
      </c>
      <c r="C429" s="1" t="n">
        <v>45564</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v>
      </c>
      <c r="C430" s="1" t="n">
        <v>45564</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71285-2021</t>
        </is>
      </c>
      <c r="B431" s="1" t="n">
        <v>44539</v>
      </c>
      <c r="C431" s="1" t="n">
        <v>45564</v>
      </c>
      <c r="D431" t="inlineStr">
        <is>
          <t>ÖREBRO LÄN</t>
        </is>
      </c>
      <c r="E431" t="inlineStr">
        <is>
          <t>ÖREBRO</t>
        </is>
      </c>
      <c r="G431" t="n">
        <v>0.8</v>
      </c>
      <c r="H431" t="n">
        <v>0</v>
      </c>
      <c r="I431" t="n">
        <v>0</v>
      </c>
      <c r="J431" t="n">
        <v>0</v>
      </c>
      <c r="K431" t="n">
        <v>0</v>
      </c>
      <c r="L431" t="n">
        <v>0</v>
      </c>
      <c r="M431" t="n">
        <v>0</v>
      </c>
      <c r="N431" t="n">
        <v>0</v>
      </c>
      <c r="O431" t="n">
        <v>0</v>
      </c>
      <c r="P431" t="n">
        <v>0</v>
      </c>
      <c r="Q431" t="n">
        <v>0</v>
      </c>
      <c r="R431" s="2" t="inlineStr"/>
    </row>
    <row r="432" ht="15" customHeight="1">
      <c r="A432" t="inlineStr">
        <is>
          <t>A 71295-2021</t>
        </is>
      </c>
      <c r="B432" s="1" t="n">
        <v>44539</v>
      </c>
      <c r="C432" s="1" t="n">
        <v>45564</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71280-2021</t>
        </is>
      </c>
      <c r="B433" s="1" t="n">
        <v>44539</v>
      </c>
      <c r="C433" s="1" t="n">
        <v>45564</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71291-2021</t>
        </is>
      </c>
      <c r="B434" s="1" t="n">
        <v>44539</v>
      </c>
      <c r="C434" s="1" t="n">
        <v>45564</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72329-2021</t>
        </is>
      </c>
      <c r="B435" s="1" t="n">
        <v>44545</v>
      </c>
      <c r="C435" s="1" t="n">
        <v>45564</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72338-2021</t>
        </is>
      </c>
      <c r="B436" s="1" t="n">
        <v>44545</v>
      </c>
      <c r="C436" s="1" t="n">
        <v>45564</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73946-2021</t>
        </is>
      </c>
      <c r="B437" s="1" t="n">
        <v>44552</v>
      </c>
      <c r="C437" s="1" t="n">
        <v>45564</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797-2022</t>
        </is>
      </c>
      <c r="B438" s="1" t="n">
        <v>44566</v>
      </c>
      <c r="C438" s="1" t="n">
        <v>45564</v>
      </c>
      <c r="D438" t="inlineStr">
        <is>
          <t>ÖREBRO LÄN</t>
        </is>
      </c>
      <c r="E438" t="inlineStr">
        <is>
          <t>ÖREBRO</t>
        </is>
      </c>
      <c r="G438" t="n">
        <v>0.1</v>
      </c>
      <c r="H438" t="n">
        <v>0</v>
      </c>
      <c r="I438" t="n">
        <v>0</v>
      </c>
      <c r="J438" t="n">
        <v>0</v>
      </c>
      <c r="K438" t="n">
        <v>0</v>
      </c>
      <c r="L438" t="n">
        <v>0</v>
      </c>
      <c r="M438" t="n">
        <v>0</v>
      </c>
      <c r="N438" t="n">
        <v>0</v>
      </c>
      <c r="O438" t="n">
        <v>0</v>
      </c>
      <c r="P438" t="n">
        <v>0</v>
      </c>
      <c r="Q438" t="n">
        <v>0</v>
      </c>
      <c r="R438" s="2" t="inlineStr"/>
    </row>
    <row r="439" ht="15" customHeight="1">
      <c r="A439" t="inlineStr">
        <is>
          <t>A 1257-2022</t>
        </is>
      </c>
      <c r="B439" s="1" t="n">
        <v>44572</v>
      </c>
      <c r="C439" s="1" t="n">
        <v>45564</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45564</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2596-2022</t>
        </is>
      </c>
      <c r="B441" s="1" t="n">
        <v>44580</v>
      </c>
      <c r="C441" s="1" t="n">
        <v>45564</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3120-2022</t>
        </is>
      </c>
      <c r="B442" s="1" t="n">
        <v>44582</v>
      </c>
      <c r="C442" s="1" t="n">
        <v>45564</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3563-2022</t>
        </is>
      </c>
      <c r="B443" s="1" t="n">
        <v>44585</v>
      </c>
      <c r="C443" s="1" t="n">
        <v>45564</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v>
      </c>
      <c r="C444" s="1" t="n">
        <v>45564</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4761-2022</t>
        </is>
      </c>
      <c r="B445" s="1" t="n">
        <v>44592</v>
      </c>
      <c r="C445" s="1" t="n">
        <v>45564</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4766-2022</t>
        </is>
      </c>
      <c r="B446" s="1" t="n">
        <v>44592</v>
      </c>
      <c r="C446" s="1" t="n">
        <v>45564</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4956-2022</t>
        </is>
      </c>
      <c r="B447" s="1" t="n">
        <v>44593</v>
      </c>
      <c r="C447" s="1" t="n">
        <v>45564</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4961-2022</t>
        </is>
      </c>
      <c r="B448" s="1" t="n">
        <v>44593</v>
      </c>
      <c r="C448" s="1" t="n">
        <v>45564</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4887-2022</t>
        </is>
      </c>
      <c r="B449" s="1" t="n">
        <v>44593</v>
      </c>
      <c r="C449" s="1" t="n">
        <v>45564</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v>
      </c>
      <c r="C450" s="1" t="n">
        <v>45564</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5026-2022</t>
        </is>
      </c>
      <c r="B451" s="1" t="n">
        <v>44593</v>
      </c>
      <c r="C451" s="1" t="n">
        <v>45564</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5401-2022</t>
        </is>
      </c>
      <c r="B452" s="1" t="n">
        <v>44595</v>
      </c>
      <c r="C452" s="1" t="n">
        <v>45564</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5398-2022</t>
        </is>
      </c>
      <c r="B453" s="1" t="n">
        <v>44595</v>
      </c>
      <c r="C453" s="1" t="n">
        <v>45564</v>
      </c>
      <c r="D453" t="inlineStr">
        <is>
          <t>ÖREBRO LÄN</t>
        </is>
      </c>
      <c r="E453" t="inlineStr">
        <is>
          <t>ÖREBRO</t>
        </is>
      </c>
      <c r="G453" t="n">
        <v>2.1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45564</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6638-2022</t>
        </is>
      </c>
      <c r="B455" s="1" t="n">
        <v>44601</v>
      </c>
      <c r="C455" s="1" t="n">
        <v>45564</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v>
      </c>
      <c r="C456" s="1" t="n">
        <v>45564</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7365-2022</t>
        </is>
      </c>
      <c r="B457" s="1" t="n">
        <v>44606</v>
      </c>
      <c r="C457" s="1" t="n">
        <v>45564</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8022-2022</t>
        </is>
      </c>
      <c r="B458" s="1" t="n">
        <v>44609</v>
      </c>
      <c r="C458" s="1" t="n">
        <v>45564</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8159-2022</t>
        </is>
      </c>
      <c r="B459" s="1" t="n">
        <v>44609</v>
      </c>
      <c r="C459" s="1" t="n">
        <v>45564</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8163-2022</t>
        </is>
      </c>
      <c r="B460" s="1" t="n">
        <v>44609</v>
      </c>
      <c r="C460" s="1" t="n">
        <v>45564</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8156-2022</t>
        </is>
      </c>
      <c r="B461" s="1" t="n">
        <v>44609</v>
      </c>
      <c r="C461" s="1" t="n">
        <v>45564</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8884-2022</t>
        </is>
      </c>
      <c r="B462" s="1" t="n">
        <v>44614</v>
      </c>
      <c r="C462" s="1" t="n">
        <v>45564</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9395-2022</t>
        </is>
      </c>
      <c r="B463" s="1" t="n">
        <v>44616</v>
      </c>
      <c r="C463" s="1" t="n">
        <v>45564</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9362-2022</t>
        </is>
      </c>
      <c r="B464" s="1" t="n">
        <v>44616</v>
      </c>
      <c r="C464" s="1" t="n">
        <v>45564</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9392-2022</t>
        </is>
      </c>
      <c r="B465" s="1" t="n">
        <v>44616</v>
      </c>
      <c r="C465" s="1" t="n">
        <v>45564</v>
      </c>
      <c r="D465" t="inlineStr">
        <is>
          <t>ÖREBRO LÄN</t>
        </is>
      </c>
      <c r="E465" t="inlineStr">
        <is>
          <t>ÖREBRO</t>
        </is>
      </c>
      <c r="G465" t="n">
        <v>10.9</v>
      </c>
      <c r="H465" t="n">
        <v>0</v>
      </c>
      <c r="I465" t="n">
        <v>0</v>
      </c>
      <c r="J465" t="n">
        <v>0</v>
      </c>
      <c r="K465" t="n">
        <v>0</v>
      </c>
      <c r="L465" t="n">
        <v>0</v>
      </c>
      <c r="M465" t="n">
        <v>0</v>
      </c>
      <c r="N465" t="n">
        <v>0</v>
      </c>
      <c r="O465" t="n">
        <v>0</v>
      </c>
      <c r="P465" t="n">
        <v>0</v>
      </c>
      <c r="Q465" t="n">
        <v>0</v>
      </c>
      <c r="R465" s="2" t="inlineStr"/>
    </row>
    <row r="466" ht="15" customHeight="1">
      <c r="A466" t="inlineStr">
        <is>
          <t>A 9397-2022</t>
        </is>
      </c>
      <c r="B466" s="1" t="n">
        <v>44616</v>
      </c>
      <c r="C466" s="1" t="n">
        <v>45564</v>
      </c>
      <c r="D466" t="inlineStr">
        <is>
          <t>ÖREBRO LÄN</t>
        </is>
      </c>
      <c r="E466" t="inlineStr">
        <is>
          <t>ÖREBRO</t>
        </is>
      </c>
      <c r="G466" t="n">
        <v>7.9</v>
      </c>
      <c r="H466" t="n">
        <v>0</v>
      </c>
      <c r="I466" t="n">
        <v>0</v>
      </c>
      <c r="J466" t="n">
        <v>0</v>
      </c>
      <c r="K466" t="n">
        <v>0</v>
      </c>
      <c r="L466" t="n">
        <v>0</v>
      </c>
      <c r="M466" t="n">
        <v>0</v>
      </c>
      <c r="N466" t="n">
        <v>0</v>
      </c>
      <c r="O466" t="n">
        <v>0</v>
      </c>
      <c r="P466" t="n">
        <v>0</v>
      </c>
      <c r="Q466" t="n">
        <v>0</v>
      </c>
      <c r="R466" s="2" t="inlineStr"/>
    </row>
    <row r="467" ht="15" customHeight="1">
      <c r="A467" t="inlineStr">
        <is>
          <t>A 10019-2022</t>
        </is>
      </c>
      <c r="B467" s="1" t="n">
        <v>44621</v>
      </c>
      <c r="C467" s="1" t="n">
        <v>45564</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11594-2022</t>
        </is>
      </c>
      <c r="B468" s="1" t="n">
        <v>44631</v>
      </c>
      <c r="C468" s="1" t="n">
        <v>45564</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11899-2022</t>
        </is>
      </c>
      <c r="B469" s="1" t="n">
        <v>44635</v>
      </c>
      <c r="C469" s="1" t="n">
        <v>45564</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12478-2022</t>
        </is>
      </c>
      <c r="B470" s="1" t="n">
        <v>44638</v>
      </c>
      <c r="C470" s="1" t="n">
        <v>45564</v>
      </c>
      <c r="D470" t="inlineStr">
        <is>
          <t>ÖREBRO LÄN</t>
        </is>
      </c>
      <c r="E470" t="inlineStr">
        <is>
          <t>ÖREBRO</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12990-2022</t>
        </is>
      </c>
      <c r="B471" s="1" t="n">
        <v>44643</v>
      </c>
      <c r="C471" s="1" t="n">
        <v>45564</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13045-2022</t>
        </is>
      </c>
      <c r="B472" s="1" t="n">
        <v>44643</v>
      </c>
      <c r="C472" s="1" t="n">
        <v>45564</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13511-2022</t>
        </is>
      </c>
      <c r="B473" s="1" t="n">
        <v>44647</v>
      </c>
      <c r="C473" s="1" t="n">
        <v>45564</v>
      </c>
      <c r="D473" t="inlineStr">
        <is>
          <t>ÖREBRO LÄN</t>
        </is>
      </c>
      <c r="E473" t="inlineStr">
        <is>
          <t>ÖREBRO</t>
        </is>
      </c>
      <c r="G473" t="n">
        <v>3</v>
      </c>
      <c r="H473" t="n">
        <v>0</v>
      </c>
      <c r="I473" t="n">
        <v>0</v>
      </c>
      <c r="J473" t="n">
        <v>0</v>
      </c>
      <c r="K473" t="n">
        <v>0</v>
      </c>
      <c r="L473" t="n">
        <v>0</v>
      </c>
      <c r="M473" t="n">
        <v>0</v>
      </c>
      <c r="N473" t="n">
        <v>0</v>
      </c>
      <c r="O473" t="n">
        <v>0</v>
      </c>
      <c r="P473" t="n">
        <v>0</v>
      </c>
      <c r="Q473" t="n">
        <v>0</v>
      </c>
      <c r="R473" s="2" t="inlineStr"/>
    </row>
    <row r="474" ht="15" customHeight="1">
      <c r="A474" t="inlineStr">
        <is>
          <t>A 13631-2022</t>
        </is>
      </c>
      <c r="B474" s="1" t="n">
        <v>44648</v>
      </c>
      <c r="C474" s="1" t="n">
        <v>45564</v>
      </c>
      <c r="D474" t="inlineStr">
        <is>
          <t>ÖREBRO LÄN</t>
        </is>
      </c>
      <c r="E474" t="inlineStr">
        <is>
          <t>ÖREBRO</t>
        </is>
      </c>
      <c r="G474" t="n">
        <v>10.4</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v>
      </c>
      <c r="C475" s="1" t="n">
        <v>45564</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13857-2022</t>
        </is>
      </c>
      <c r="B476" s="1" t="n">
        <v>44649</v>
      </c>
      <c r="C476" s="1" t="n">
        <v>45564</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14562-2022</t>
        </is>
      </c>
      <c r="B477" s="1" t="n">
        <v>44655</v>
      </c>
      <c r="C477" s="1" t="n">
        <v>45564</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14878-2022</t>
        </is>
      </c>
      <c r="B478" s="1" t="n">
        <v>44656</v>
      </c>
      <c r="C478" s="1" t="n">
        <v>45564</v>
      </c>
      <c r="D478" t="inlineStr">
        <is>
          <t>ÖREBRO LÄN</t>
        </is>
      </c>
      <c r="E478" t="inlineStr">
        <is>
          <t>ÖREBRO</t>
        </is>
      </c>
      <c r="G478" t="n">
        <v>5.4</v>
      </c>
      <c r="H478" t="n">
        <v>0</v>
      </c>
      <c r="I478" t="n">
        <v>0</v>
      </c>
      <c r="J478" t="n">
        <v>0</v>
      </c>
      <c r="K478" t="n">
        <v>0</v>
      </c>
      <c r="L478" t="n">
        <v>0</v>
      </c>
      <c r="M478" t="n">
        <v>0</v>
      </c>
      <c r="N478" t="n">
        <v>0</v>
      </c>
      <c r="O478" t="n">
        <v>0</v>
      </c>
      <c r="P478" t="n">
        <v>0</v>
      </c>
      <c r="Q478" t="n">
        <v>0</v>
      </c>
      <c r="R478" s="2" t="inlineStr"/>
    </row>
    <row r="479" ht="15" customHeight="1">
      <c r="A479" t="inlineStr">
        <is>
          <t>A 14877-2022</t>
        </is>
      </c>
      <c r="B479" s="1" t="n">
        <v>44656</v>
      </c>
      <c r="C479" s="1" t="n">
        <v>45564</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15424-2022</t>
        </is>
      </c>
      <c r="B480" s="1" t="n">
        <v>44659</v>
      </c>
      <c r="C480" s="1" t="n">
        <v>45564</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15422-2022</t>
        </is>
      </c>
      <c r="B481" s="1" t="n">
        <v>44659</v>
      </c>
      <c r="C481" s="1" t="n">
        <v>45564</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15624-2022</t>
        </is>
      </c>
      <c r="B482" s="1" t="n">
        <v>44662</v>
      </c>
      <c r="C482" s="1" t="n">
        <v>45564</v>
      </c>
      <c r="D482" t="inlineStr">
        <is>
          <t>ÖREBRO LÄN</t>
        </is>
      </c>
      <c r="E482" t="inlineStr">
        <is>
          <t>ÖREBRO</t>
        </is>
      </c>
      <c r="F482" t="inlineStr">
        <is>
          <t>Övriga Aktiebolag</t>
        </is>
      </c>
      <c r="G482" t="n">
        <v>18.8</v>
      </c>
      <c r="H482" t="n">
        <v>0</v>
      </c>
      <c r="I482" t="n">
        <v>0</v>
      </c>
      <c r="J482" t="n">
        <v>0</v>
      </c>
      <c r="K482" t="n">
        <v>0</v>
      </c>
      <c r="L482" t="n">
        <v>0</v>
      </c>
      <c r="M482" t="n">
        <v>0</v>
      </c>
      <c r="N482" t="n">
        <v>0</v>
      </c>
      <c r="O482" t="n">
        <v>0</v>
      </c>
      <c r="P482" t="n">
        <v>0</v>
      </c>
      <c r="Q482" t="n">
        <v>0</v>
      </c>
      <c r="R482" s="2" t="inlineStr"/>
    </row>
    <row r="483" ht="15" customHeight="1">
      <c r="A483" t="inlineStr">
        <is>
          <t>A 15896-2022</t>
        </is>
      </c>
      <c r="B483" s="1" t="n">
        <v>44664</v>
      </c>
      <c r="C483" s="1" t="n">
        <v>45564</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15866-2022</t>
        </is>
      </c>
      <c r="B484" s="1" t="n">
        <v>44664</v>
      </c>
      <c r="C484" s="1" t="n">
        <v>45564</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16094-2022</t>
        </is>
      </c>
      <c r="B485" s="1" t="n">
        <v>44665</v>
      </c>
      <c r="C485" s="1" t="n">
        <v>45564</v>
      </c>
      <c r="D485" t="inlineStr">
        <is>
          <t>ÖREBRO LÄN</t>
        </is>
      </c>
      <c r="E485" t="inlineStr">
        <is>
          <t>ÖREBRO</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45564</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16261-2022</t>
        </is>
      </c>
      <c r="B487" s="1" t="n">
        <v>44670</v>
      </c>
      <c r="C487" s="1" t="n">
        <v>45564</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45564</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45564</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16759-2022</t>
        </is>
      </c>
      <c r="B490" s="1" t="n">
        <v>44673</v>
      </c>
      <c r="C490" s="1" t="n">
        <v>45564</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16732-2022</t>
        </is>
      </c>
      <c r="B491" s="1" t="n">
        <v>44673</v>
      </c>
      <c r="C491" s="1" t="n">
        <v>45564</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16739-2022</t>
        </is>
      </c>
      <c r="B492" s="1" t="n">
        <v>44673</v>
      </c>
      <c r="C492" s="1" t="n">
        <v>45564</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v>
      </c>
      <c r="C493" s="1" t="n">
        <v>45564</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16969-2022</t>
        </is>
      </c>
      <c r="B494" s="1" t="n">
        <v>44676</v>
      </c>
      <c r="C494" s="1" t="n">
        <v>45564</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45564</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17840-2022</t>
        </is>
      </c>
      <c r="B496" s="1" t="n">
        <v>44683</v>
      </c>
      <c r="C496" s="1" t="n">
        <v>45564</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18047-2022</t>
        </is>
      </c>
      <c r="B497" s="1" t="n">
        <v>44684</v>
      </c>
      <c r="C497" s="1" t="n">
        <v>45564</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18321-2022</t>
        </is>
      </c>
      <c r="B498" s="1" t="n">
        <v>44685</v>
      </c>
      <c r="C498" s="1" t="n">
        <v>45564</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18498-2022</t>
        </is>
      </c>
      <c r="B499" s="1" t="n">
        <v>44686</v>
      </c>
      <c r="C499" s="1" t="n">
        <v>45564</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18674-2022</t>
        </is>
      </c>
      <c r="B500" s="1" t="n">
        <v>44687</v>
      </c>
      <c r="C500" s="1" t="n">
        <v>45564</v>
      </c>
      <c r="D500" t="inlineStr">
        <is>
          <t>ÖREBRO LÄN</t>
        </is>
      </c>
      <c r="E500" t="inlineStr">
        <is>
          <t>ÖREBRO</t>
        </is>
      </c>
      <c r="G500" t="n">
        <v>0.3</v>
      </c>
      <c r="H500" t="n">
        <v>0</v>
      </c>
      <c r="I500" t="n">
        <v>0</v>
      </c>
      <c r="J500" t="n">
        <v>0</v>
      </c>
      <c r="K500" t="n">
        <v>0</v>
      </c>
      <c r="L500" t="n">
        <v>0</v>
      </c>
      <c r="M500" t="n">
        <v>0</v>
      </c>
      <c r="N500" t="n">
        <v>0</v>
      </c>
      <c r="O500" t="n">
        <v>0</v>
      </c>
      <c r="P500" t="n">
        <v>0</v>
      </c>
      <c r="Q500" t="n">
        <v>0</v>
      </c>
      <c r="R500" s="2" t="inlineStr"/>
    </row>
    <row r="501" ht="15" customHeight="1">
      <c r="A501" t="inlineStr">
        <is>
          <t>A 19049-2022</t>
        </is>
      </c>
      <c r="B501" s="1" t="n">
        <v>44691</v>
      </c>
      <c r="C501" s="1" t="n">
        <v>45564</v>
      </c>
      <c r="D501" t="inlineStr">
        <is>
          <t>ÖREBRO LÄN</t>
        </is>
      </c>
      <c r="E501" t="inlineStr">
        <is>
          <t>ÖREBRO</t>
        </is>
      </c>
      <c r="G501" t="n">
        <v>3.5</v>
      </c>
      <c r="H501" t="n">
        <v>0</v>
      </c>
      <c r="I501" t="n">
        <v>0</v>
      </c>
      <c r="J501" t="n">
        <v>0</v>
      </c>
      <c r="K501" t="n">
        <v>0</v>
      </c>
      <c r="L501" t="n">
        <v>0</v>
      </c>
      <c r="M501" t="n">
        <v>0</v>
      </c>
      <c r="N501" t="n">
        <v>0</v>
      </c>
      <c r="O501" t="n">
        <v>0</v>
      </c>
      <c r="P501" t="n">
        <v>0</v>
      </c>
      <c r="Q501" t="n">
        <v>0</v>
      </c>
      <c r="R501" s="2" t="inlineStr"/>
    </row>
    <row r="502" ht="15" customHeight="1">
      <c r="A502" t="inlineStr">
        <is>
          <t>A 19458-2022</t>
        </is>
      </c>
      <c r="B502" s="1" t="n">
        <v>44693</v>
      </c>
      <c r="C502" s="1" t="n">
        <v>45564</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19832-2022</t>
        </is>
      </c>
      <c r="B503" s="1" t="n">
        <v>44695</v>
      </c>
      <c r="C503" s="1" t="n">
        <v>45564</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19863-2022</t>
        </is>
      </c>
      <c r="B504" s="1" t="n">
        <v>44696</v>
      </c>
      <c r="C504" s="1" t="n">
        <v>45564</v>
      </c>
      <c r="D504" t="inlineStr">
        <is>
          <t>ÖREBRO LÄN</t>
        </is>
      </c>
      <c r="E504" t="inlineStr">
        <is>
          <t>ÖREBRO</t>
        </is>
      </c>
      <c r="G504" t="n">
        <v>4.6</v>
      </c>
      <c r="H504" t="n">
        <v>0</v>
      </c>
      <c r="I504" t="n">
        <v>0</v>
      </c>
      <c r="J504" t="n">
        <v>0</v>
      </c>
      <c r="K504" t="n">
        <v>0</v>
      </c>
      <c r="L504" t="n">
        <v>0</v>
      </c>
      <c r="M504" t="n">
        <v>0</v>
      </c>
      <c r="N504" t="n">
        <v>0</v>
      </c>
      <c r="O504" t="n">
        <v>0</v>
      </c>
      <c r="P504" t="n">
        <v>0</v>
      </c>
      <c r="Q504" t="n">
        <v>0</v>
      </c>
      <c r="R504" s="2" t="inlineStr"/>
    </row>
    <row r="505" ht="15" customHeight="1">
      <c r="A505" t="inlineStr">
        <is>
          <t>A 20922-2022</t>
        </is>
      </c>
      <c r="B505" s="1" t="n">
        <v>44701</v>
      </c>
      <c r="C505" s="1" t="n">
        <v>45564</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21109-2022</t>
        </is>
      </c>
      <c r="B506" s="1" t="n">
        <v>44704</v>
      </c>
      <c r="C506" s="1" t="n">
        <v>45564</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21567-2022</t>
        </is>
      </c>
      <c r="B507" s="1" t="n">
        <v>44706</v>
      </c>
      <c r="C507" s="1" t="n">
        <v>45564</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22153-2022</t>
        </is>
      </c>
      <c r="B508" s="1" t="n">
        <v>44712</v>
      </c>
      <c r="C508" s="1" t="n">
        <v>45564</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22677-2022</t>
        </is>
      </c>
      <c r="B509" s="1" t="n">
        <v>44714</v>
      </c>
      <c r="C509" s="1" t="n">
        <v>45564</v>
      </c>
      <c r="D509" t="inlineStr">
        <is>
          <t>ÖREBRO LÄN</t>
        </is>
      </c>
      <c r="E509" t="inlineStr">
        <is>
          <t>ÖREBRO</t>
        </is>
      </c>
      <c r="G509" t="n">
        <v>2.3</v>
      </c>
      <c r="H509" t="n">
        <v>0</v>
      </c>
      <c r="I509" t="n">
        <v>0</v>
      </c>
      <c r="J509" t="n">
        <v>0</v>
      </c>
      <c r="K509" t="n">
        <v>0</v>
      </c>
      <c r="L509" t="n">
        <v>0</v>
      </c>
      <c r="M509" t="n">
        <v>0</v>
      </c>
      <c r="N509" t="n">
        <v>0</v>
      </c>
      <c r="O509" t="n">
        <v>0</v>
      </c>
      <c r="P509" t="n">
        <v>0</v>
      </c>
      <c r="Q509" t="n">
        <v>0</v>
      </c>
      <c r="R509" s="2" t="inlineStr"/>
    </row>
    <row r="510" ht="15" customHeight="1">
      <c r="A510" t="inlineStr">
        <is>
          <t>A 23459-2022</t>
        </is>
      </c>
      <c r="B510" s="1" t="n">
        <v>44721</v>
      </c>
      <c r="C510" s="1" t="n">
        <v>45564</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23710-2022</t>
        </is>
      </c>
      <c r="B511" s="1" t="n">
        <v>44722</v>
      </c>
      <c r="C511" s="1" t="n">
        <v>45564</v>
      </c>
      <c r="D511" t="inlineStr">
        <is>
          <t>ÖREBRO LÄN</t>
        </is>
      </c>
      <c r="E511" t="inlineStr">
        <is>
          <t>ÖREBRO</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45564</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23939-2022</t>
        </is>
      </c>
      <c r="B513" s="1" t="n">
        <v>44722</v>
      </c>
      <c r="C513" s="1" t="n">
        <v>45564</v>
      </c>
      <c r="D513" t="inlineStr">
        <is>
          <t>ÖREBRO LÄN</t>
        </is>
      </c>
      <c r="E513" t="inlineStr">
        <is>
          <t>ÖREBRO</t>
        </is>
      </c>
      <c r="G513" t="n">
        <v>5.5</v>
      </c>
      <c r="H513" t="n">
        <v>0</v>
      </c>
      <c r="I513" t="n">
        <v>0</v>
      </c>
      <c r="J513" t="n">
        <v>0</v>
      </c>
      <c r="K513" t="n">
        <v>0</v>
      </c>
      <c r="L513" t="n">
        <v>0</v>
      </c>
      <c r="M513" t="n">
        <v>0</v>
      </c>
      <c r="N513" t="n">
        <v>0</v>
      </c>
      <c r="O513" t="n">
        <v>0</v>
      </c>
      <c r="P513" t="n">
        <v>0</v>
      </c>
      <c r="Q513" t="n">
        <v>0</v>
      </c>
      <c r="R513" s="2" t="inlineStr"/>
    </row>
    <row r="514" ht="15" customHeight="1">
      <c r="A514" t="inlineStr">
        <is>
          <t>A 24672-2022</t>
        </is>
      </c>
      <c r="B514" s="1" t="n">
        <v>44727</v>
      </c>
      <c r="C514" s="1" t="n">
        <v>45564</v>
      </c>
      <c r="D514" t="inlineStr">
        <is>
          <t>ÖREBRO LÄN</t>
        </is>
      </c>
      <c r="E514" t="inlineStr">
        <is>
          <t>ÖREBRO</t>
        </is>
      </c>
      <c r="G514" t="n">
        <v>6.9</v>
      </c>
      <c r="H514" t="n">
        <v>0</v>
      </c>
      <c r="I514" t="n">
        <v>0</v>
      </c>
      <c r="J514" t="n">
        <v>0</v>
      </c>
      <c r="K514" t="n">
        <v>0</v>
      </c>
      <c r="L514" t="n">
        <v>0</v>
      </c>
      <c r="M514" t="n">
        <v>0</v>
      </c>
      <c r="N514" t="n">
        <v>0</v>
      </c>
      <c r="O514" t="n">
        <v>0</v>
      </c>
      <c r="P514" t="n">
        <v>0</v>
      </c>
      <c r="Q514" t="n">
        <v>0</v>
      </c>
      <c r="R514" s="2" t="inlineStr"/>
    </row>
    <row r="515" ht="15" customHeight="1">
      <c r="A515" t="inlineStr">
        <is>
          <t>A 25597-2022</t>
        </is>
      </c>
      <c r="B515" s="1" t="n">
        <v>44732</v>
      </c>
      <c r="C515" s="1" t="n">
        <v>45564</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25746-2022</t>
        </is>
      </c>
      <c r="B516" s="1" t="n">
        <v>44733</v>
      </c>
      <c r="C516" s="1" t="n">
        <v>45564</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26101-2022</t>
        </is>
      </c>
      <c r="B517" s="1" t="n">
        <v>44734</v>
      </c>
      <c r="C517" s="1" t="n">
        <v>45564</v>
      </c>
      <c r="D517" t="inlineStr">
        <is>
          <t>ÖREBRO LÄN</t>
        </is>
      </c>
      <c r="E517" t="inlineStr">
        <is>
          <t>ÖREBRO</t>
        </is>
      </c>
      <c r="G517" t="n">
        <v>15.8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v>
      </c>
      <c r="C518" s="1" t="n">
        <v>45564</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28706-2022</t>
        </is>
      </c>
      <c r="B519" s="1" t="n">
        <v>44748</v>
      </c>
      <c r="C519" s="1" t="n">
        <v>45564</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29108-2022</t>
        </is>
      </c>
      <c r="B520" s="1" t="n">
        <v>44750</v>
      </c>
      <c r="C520" s="1" t="n">
        <v>45564</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29138-2022</t>
        </is>
      </c>
      <c r="B521" s="1" t="n">
        <v>44750</v>
      </c>
      <c r="C521" s="1" t="n">
        <v>45564</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29243-2022</t>
        </is>
      </c>
      <c r="B522" s="1" t="n">
        <v>44750</v>
      </c>
      <c r="C522" s="1" t="n">
        <v>45564</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29246-2022</t>
        </is>
      </c>
      <c r="B523" s="1" t="n">
        <v>44750</v>
      </c>
      <c r="C523" s="1" t="n">
        <v>45564</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45564</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29490-2022</t>
        </is>
      </c>
      <c r="B525" s="1" t="n">
        <v>44753</v>
      </c>
      <c r="C525" s="1" t="n">
        <v>45564</v>
      </c>
      <c r="D525" t="inlineStr">
        <is>
          <t>ÖREBRO LÄN</t>
        </is>
      </c>
      <c r="E525" t="inlineStr">
        <is>
          <t>ÖREBRO</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29751-2022</t>
        </is>
      </c>
      <c r="B526" s="1" t="n">
        <v>44755</v>
      </c>
      <c r="C526" s="1" t="n">
        <v>45564</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30472-2022</t>
        </is>
      </c>
      <c r="B527" s="1" t="n">
        <v>44761</v>
      </c>
      <c r="C527" s="1" t="n">
        <v>45564</v>
      </c>
      <c r="D527" t="inlineStr">
        <is>
          <t>ÖREBRO LÄN</t>
        </is>
      </c>
      <c r="E527" t="inlineStr">
        <is>
          <t>ÖREBRO</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30760-2022</t>
        </is>
      </c>
      <c r="B528" s="1" t="n">
        <v>44764</v>
      </c>
      <c r="C528" s="1" t="n">
        <v>45564</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30782-2022</t>
        </is>
      </c>
      <c r="B529" s="1" t="n">
        <v>44764</v>
      </c>
      <c r="C529" s="1" t="n">
        <v>45564</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32231-2022</t>
        </is>
      </c>
      <c r="B530" s="1" t="n">
        <v>44781</v>
      </c>
      <c r="C530" s="1" t="n">
        <v>45564</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32274-2022</t>
        </is>
      </c>
      <c r="B531" s="1" t="n">
        <v>44781</v>
      </c>
      <c r="C531" s="1" t="n">
        <v>45564</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32247-2022</t>
        </is>
      </c>
      <c r="B532" s="1" t="n">
        <v>44781</v>
      </c>
      <c r="C532" s="1" t="n">
        <v>45564</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v>
      </c>
      <c r="C533" s="1" t="n">
        <v>45564</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34874-2022</t>
        </is>
      </c>
      <c r="B534" s="1" t="n">
        <v>44796</v>
      </c>
      <c r="C534" s="1" t="n">
        <v>45564</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45564</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36794-2022</t>
        </is>
      </c>
      <c r="B536" s="1" t="n">
        <v>44805</v>
      </c>
      <c r="C536" s="1" t="n">
        <v>45564</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37270-2022</t>
        </is>
      </c>
      <c r="B537" s="1" t="n">
        <v>44807</v>
      </c>
      <c r="C537" s="1" t="n">
        <v>45564</v>
      </c>
      <c r="D537" t="inlineStr">
        <is>
          <t>ÖREBRO LÄN</t>
        </is>
      </c>
      <c r="E537" t="inlineStr">
        <is>
          <t>ÖREBRO</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37277-2022</t>
        </is>
      </c>
      <c r="B538" s="1" t="n">
        <v>44807</v>
      </c>
      <c r="C538" s="1" t="n">
        <v>45564</v>
      </c>
      <c r="D538" t="inlineStr">
        <is>
          <t>ÖREBRO LÄN</t>
        </is>
      </c>
      <c r="E538" t="inlineStr">
        <is>
          <t>ÖREBRO</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37272-2022</t>
        </is>
      </c>
      <c r="B539" s="1" t="n">
        <v>44807</v>
      </c>
      <c r="C539" s="1" t="n">
        <v>45564</v>
      </c>
      <c r="D539" t="inlineStr">
        <is>
          <t>ÖREBRO LÄN</t>
        </is>
      </c>
      <c r="E539" t="inlineStr">
        <is>
          <t>ÖREBRO</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37271-2022</t>
        </is>
      </c>
      <c r="B540" s="1" t="n">
        <v>44807</v>
      </c>
      <c r="C540" s="1" t="n">
        <v>45564</v>
      </c>
      <c r="D540" t="inlineStr">
        <is>
          <t>ÖREBRO LÄN</t>
        </is>
      </c>
      <c r="E540" t="inlineStr">
        <is>
          <t>ÖREBRO</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37268-2022</t>
        </is>
      </c>
      <c r="B541" s="1" t="n">
        <v>44807</v>
      </c>
      <c r="C541" s="1" t="n">
        <v>45564</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37276-2022</t>
        </is>
      </c>
      <c r="B542" s="1" t="n">
        <v>44807</v>
      </c>
      <c r="C542" s="1" t="n">
        <v>45564</v>
      </c>
      <c r="D542" t="inlineStr">
        <is>
          <t>ÖREBRO LÄN</t>
        </is>
      </c>
      <c r="E542" t="inlineStr">
        <is>
          <t>ÖREBRO</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38075-2022</t>
        </is>
      </c>
      <c r="B543" s="1" t="n">
        <v>44811</v>
      </c>
      <c r="C543" s="1" t="n">
        <v>45564</v>
      </c>
      <c r="D543" t="inlineStr">
        <is>
          <t>ÖREBRO LÄN</t>
        </is>
      </c>
      <c r="E543" t="inlineStr">
        <is>
          <t>ÖREBRO</t>
        </is>
      </c>
      <c r="G543" t="n">
        <v>0.2</v>
      </c>
      <c r="H543" t="n">
        <v>0</v>
      </c>
      <c r="I543" t="n">
        <v>0</v>
      </c>
      <c r="J543" t="n">
        <v>0</v>
      </c>
      <c r="K543" t="n">
        <v>0</v>
      </c>
      <c r="L543" t="n">
        <v>0</v>
      </c>
      <c r="M543" t="n">
        <v>0</v>
      </c>
      <c r="N543" t="n">
        <v>0</v>
      </c>
      <c r="O543" t="n">
        <v>0</v>
      </c>
      <c r="P543" t="n">
        <v>0</v>
      </c>
      <c r="Q543" t="n">
        <v>0</v>
      </c>
      <c r="R543" s="2" t="inlineStr"/>
    </row>
    <row r="544" ht="15" customHeight="1">
      <c r="A544" t="inlineStr">
        <is>
          <t>A 38864-2022</t>
        </is>
      </c>
      <c r="B544" s="1" t="n">
        <v>44814</v>
      </c>
      <c r="C544" s="1" t="n">
        <v>45564</v>
      </c>
      <c r="D544" t="inlineStr">
        <is>
          <t>ÖREBRO LÄN</t>
        </is>
      </c>
      <c r="E544" t="inlineStr">
        <is>
          <t>ÖREBRO</t>
        </is>
      </c>
      <c r="G544" t="n">
        <v>2.5</v>
      </c>
      <c r="H544" t="n">
        <v>0</v>
      </c>
      <c r="I544" t="n">
        <v>0</v>
      </c>
      <c r="J544" t="n">
        <v>0</v>
      </c>
      <c r="K544" t="n">
        <v>0</v>
      </c>
      <c r="L544" t="n">
        <v>0</v>
      </c>
      <c r="M544" t="n">
        <v>0</v>
      </c>
      <c r="N544" t="n">
        <v>0</v>
      </c>
      <c r="O544" t="n">
        <v>0</v>
      </c>
      <c r="P544" t="n">
        <v>0</v>
      </c>
      <c r="Q544" t="n">
        <v>0</v>
      </c>
      <c r="R544" s="2" t="inlineStr"/>
    </row>
    <row r="545" ht="15" customHeight="1">
      <c r="A545" t="inlineStr">
        <is>
          <t>A 38842-2022</t>
        </is>
      </c>
      <c r="B545" s="1" t="n">
        <v>44814</v>
      </c>
      <c r="C545" s="1" t="n">
        <v>45564</v>
      </c>
      <c r="D545" t="inlineStr">
        <is>
          <t>ÖREBRO LÄN</t>
        </is>
      </c>
      <c r="E545" t="inlineStr">
        <is>
          <t>ÖREBRO</t>
        </is>
      </c>
      <c r="G545" t="n">
        <v>5</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45564</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41553-2022</t>
        </is>
      </c>
      <c r="B547" s="1" t="n">
        <v>44827</v>
      </c>
      <c r="C547" s="1" t="n">
        <v>45564</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41894-2022</t>
        </is>
      </c>
      <c r="B548" s="1" t="n">
        <v>44830</v>
      </c>
      <c r="C548" s="1" t="n">
        <v>45564</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41892-2022</t>
        </is>
      </c>
      <c r="B549" s="1" t="n">
        <v>44830</v>
      </c>
      <c r="C549" s="1" t="n">
        <v>45564</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42618-2022</t>
        </is>
      </c>
      <c r="B550" s="1" t="n">
        <v>44831</v>
      </c>
      <c r="C550" s="1" t="n">
        <v>45564</v>
      </c>
      <c r="D550" t="inlineStr">
        <is>
          <t>ÖREBRO LÄN</t>
        </is>
      </c>
      <c r="E550" t="inlineStr">
        <is>
          <t>ÖREBRO</t>
        </is>
      </c>
      <c r="G550" t="n">
        <v>3</v>
      </c>
      <c r="H550" t="n">
        <v>0</v>
      </c>
      <c r="I550" t="n">
        <v>0</v>
      </c>
      <c r="J550" t="n">
        <v>0</v>
      </c>
      <c r="K550" t="n">
        <v>0</v>
      </c>
      <c r="L550" t="n">
        <v>0</v>
      </c>
      <c r="M550" t="n">
        <v>0</v>
      </c>
      <c r="N550" t="n">
        <v>0</v>
      </c>
      <c r="O550" t="n">
        <v>0</v>
      </c>
      <c r="P550" t="n">
        <v>0</v>
      </c>
      <c r="Q550" t="n">
        <v>0</v>
      </c>
      <c r="R550" s="2" t="inlineStr"/>
    </row>
    <row r="551" ht="15" customHeight="1">
      <c r="A551" t="inlineStr">
        <is>
          <t>A 42623-2022</t>
        </is>
      </c>
      <c r="B551" s="1" t="n">
        <v>44831</v>
      </c>
      <c r="C551" s="1" t="n">
        <v>45564</v>
      </c>
      <c r="D551" t="inlineStr">
        <is>
          <t>ÖREBRO LÄN</t>
        </is>
      </c>
      <c r="E551" t="inlineStr">
        <is>
          <t>ÖREBRO</t>
        </is>
      </c>
      <c r="G551" t="n">
        <v>3.6</v>
      </c>
      <c r="H551" t="n">
        <v>0</v>
      </c>
      <c r="I551" t="n">
        <v>0</v>
      </c>
      <c r="J551" t="n">
        <v>0</v>
      </c>
      <c r="K551" t="n">
        <v>0</v>
      </c>
      <c r="L551" t="n">
        <v>0</v>
      </c>
      <c r="M551" t="n">
        <v>0</v>
      </c>
      <c r="N551" t="n">
        <v>0</v>
      </c>
      <c r="O551" t="n">
        <v>0</v>
      </c>
      <c r="P551" t="n">
        <v>0</v>
      </c>
      <c r="Q551" t="n">
        <v>0</v>
      </c>
      <c r="R551" s="2" t="inlineStr"/>
    </row>
    <row r="552" ht="15" customHeight="1">
      <c r="A552" t="inlineStr">
        <is>
          <t>A 43332-2022</t>
        </is>
      </c>
      <c r="B552" s="1" t="n">
        <v>44834</v>
      </c>
      <c r="C552" s="1" t="n">
        <v>45564</v>
      </c>
      <c r="D552" t="inlineStr">
        <is>
          <t>ÖREBRO LÄN</t>
        </is>
      </c>
      <c r="E552" t="inlineStr">
        <is>
          <t>ÖREBRO</t>
        </is>
      </c>
      <c r="G552" t="n">
        <v>2.3</v>
      </c>
      <c r="H552" t="n">
        <v>0</v>
      </c>
      <c r="I552" t="n">
        <v>0</v>
      </c>
      <c r="J552" t="n">
        <v>0</v>
      </c>
      <c r="K552" t="n">
        <v>0</v>
      </c>
      <c r="L552" t="n">
        <v>0</v>
      </c>
      <c r="M552" t="n">
        <v>0</v>
      </c>
      <c r="N552" t="n">
        <v>0</v>
      </c>
      <c r="O552" t="n">
        <v>0</v>
      </c>
      <c r="P552" t="n">
        <v>0</v>
      </c>
      <c r="Q552" t="n">
        <v>0</v>
      </c>
      <c r="R552" s="2" t="inlineStr"/>
    </row>
    <row r="553" ht="15" customHeight="1">
      <c r="A553" t="inlineStr">
        <is>
          <t>A 43391-2022</t>
        </is>
      </c>
      <c r="B553" s="1" t="n">
        <v>44834</v>
      </c>
      <c r="C553" s="1" t="n">
        <v>45564</v>
      </c>
      <c r="D553" t="inlineStr">
        <is>
          <t>ÖREBRO LÄN</t>
        </is>
      </c>
      <c r="E553" t="inlineStr">
        <is>
          <t>ÖREBRO</t>
        </is>
      </c>
      <c r="G553" t="n">
        <v>3.4</v>
      </c>
      <c r="H553" t="n">
        <v>0</v>
      </c>
      <c r="I553" t="n">
        <v>0</v>
      </c>
      <c r="J553" t="n">
        <v>0</v>
      </c>
      <c r="K553" t="n">
        <v>0</v>
      </c>
      <c r="L553" t="n">
        <v>0</v>
      </c>
      <c r="M553" t="n">
        <v>0</v>
      </c>
      <c r="N553" t="n">
        <v>0</v>
      </c>
      <c r="O553" t="n">
        <v>0</v>
      </c>
      <c r="P553" t="n">
        <v>0</v>
      </c>
      <c r="Q553" t="n">
        <v>0</v>
      </c>
      <c r="R553" s="2" t="inlineStr"/>
    </row>
    <row r="554" ht="15" customHeight="1">
      <c r="A554" t="inlineStr">
        <is>
          <t>A 43399-2022</t>
        </is>
      </c>
      <c r="B554" s="1" t="n">
        <v>44834</v>
      </c>
      <c r="C554" s="1" t="n">
        <v>45564</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45564</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44165-2022</t>
        </is>
      </c>
      <c r="B556" s="1" t="n">
        <v>44839</v>
      </c>
      <c r="C556" s="1" t="n">
        <v>45564</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44271-2022</t>
        </is>
      </c>
      <c r="B557" s="1" t="n">
        <v>44839</v>
      </c>
      <c r="C557" s="1" t="n">
        <v>45564</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44295-2022</t>
        </is>
      </c>
      <c r="B558" s="1" t="n">
        <v>44839</v>
      </c>
      <c r="C558" s="1" t="n">
        <v>45564</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44364-2022</t>
        </is>
      </c>
      <c r="B559" s="1" t="n">
        <v>44839</v>
      </c>
      <c r="C559" s="1" t="n">
        <v>45564</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44131-2022</t>
        </is>
      </c>
      <c r="B560" s="1" t="n">
        <v>44839</v>
      </c>
      <c r="C560" s="1" t="n">
        <v>45564</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44279-2022</t>
        </is>
      </c>
      <c r="B561" s="1" t="n">
        <v>44839</v>
      </c>
      <c r="C561" s="1" t="n">
        <v>45564</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44284-2022</t>
        </is>
      </c>
      <c r="B562" s="1" t="n">
        <v>44839</v>
      </c>
      <c r="C562" s="1" t="n">
        <v>45564</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46266-2022</t>
        </is>
      </c>
      <c r="B563" s="1" t="n">
        <v>44847</v>
      </c>
      <c r="C563" s="1" t="n">
        <v>45564</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46271-2022</t>
        </is>
      </c>
      <c r="B564" s="1" t="n">
        <v>44847</v>
      </c>
      <c r="C564" s="1" t="n">
        <v>45564</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45564</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47047-2022</t>
        </is>
      </c>
      <c r="B566" s="1" t="n">
        <v>44852</v>
      </c>
      <c r="C566" s="1" t="n">
        <v>45564</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48008-2022</t>
        </is>
      </c>
      <c r="B567" s="1" t="n">
        <v>44855</v>
      </c>
      <c r="C567" s="1" t="n">
        <v>45564</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48021-2022</t>
        </is>
      </c>
      <c r="B568" s="1" t="n">
        <v>44855</v>
      </c>
      <c r="C568" s="1" t="n">
        <v>45564</v>
      </c>
      <c r="D568" t="inlineStr">
        <is>
          <t>ÖREBRO LÄN</t>
        </is>
      </c>
      <c r="E568" t="inlineStr">
        <is>
          <t>ÖREBRO</t>
        </is>
      </c>
      <c r="G568" t="n">
        <v>4.5</v>
      </c>
      <c r="H568" t="n">
        <v>0</v>
      </c>
      <c r="I568" t="n">
        <v>0</v>
      </c>
      <c r="J568" t="n">
        <v>0</v>
      </c>
      <c r="K568" t="n">
        <v>0</v>
      </c>
      <c r="L568" t="n">
        <v>0</v>
      </c>
      <c r="M568" t="n">
        <v>0</v>
      </c>
      <c r="N568" t="n">
        <v>0</v>
      </c>
      <c r="O568" t="n">
        <v>0</v>
      </c>
      <c r="P568" t="n">
        <v>0</v>
      </c>
      <c r="Q568" t="n">
        <v>0</v>
      </c>
      <c r="R568" s="2" t="inlineStr"/>
    </row>
    <row r="569" ht="15" customHeight="1">
      <c r="A569" t="inlineStr">
        <is>
          <t>A 49228-2022</t>
        </is>
      </c>
      <c r="B569" s="1" t="n">
        <v>44861</v>
      </c>
      <c r="C569" s="1" t="n">
        <v>45564</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49495-2022</t>
        </is>
      </c>
      <c r="B570" s="1" t="n">
        <v>44861</v>
      </c>
      <c r="C570" s="1" t="n">
        <v>45564</v>
      </c>
      <c r="D570" t="inlineStr">
        <is>
          <t>ÖREBRO LÄN</t>
        </is>
      </c>
      <c r="E570" t="inlineStr">
        <is>
          <t>ÖREBRO</t>
        </is>
      </c>
      <c r="G570" t="n">
        <v>0.8</v>
      </c>
      <c r="H570" t="n">
        <v>0</v>
      </c>
      <c r="I570" t="n">
        <v>0</v>
      </c>
      <c r="J570" t="n">
        <v>0</v>
      </c>
      <c r="K570" t="n">
        <v>0</v>
      </c>
      <c r="L570" t="n">
        <v>0</v>
      </c>
      <c r="M570" t="n">
        <v>0</v>
      </c>
      <c r="N570" t="n">
        <v>0</v>
      </c>
      <c r="O570" t="n">
        <v>0</v>
      </c>
      <c r="P570" t="n">
        <v>0</v>
      </c>
      <c r="Q570" t="n">
        <v>0</v>
      </c>
      <c r="R570" s="2" t="inlineStr"/>
    </row>
    <row r="571" ht="15" customHeight="1">
      <c r="A571" t="inlineStr">
        <is>
          <t>A 50398-2022</t>
        </is>
      </c>
      <c r="B571" s="1" t="n">
        <v>44861</v>
      </c>
      <c r="C571" s="1" t="n">
        <v>45564</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51103-2022</t>
        </is>
      </c>
      <c r="B572" s="1" t="n">
        <v>44868</v>
      </c>
      <c r="C572" s="1" t="n">
        <v>45564</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51268-2022</t>
        </is>
      </c>
      <c r="B573" s="1" t="n">
        <v>44868</v>
      </c>
      <c r="C573" s="1" t="n">
        <v>45564</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52309-2022</t>
        </is>
      </c>
      <c r="B574" s="1" t="n">
        <v>44873</v>
      </c>
      <c r="C574" s="1" t="n">
        <v>45564</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53578-2022</t>
        </is>
      </c>
      <c r="B575" s="1" t="n">
        <v>44879</v>
      </c>
      <c r="C575" s="1" t="n">
        <v>45564</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55012-2022</t>
        </is>
      </c>
      <c r="B576" s="1" t="n">
        <v>44886</v>
      </c>
      <c r="C576" s="1" t="n">
        <v>45564</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55593-2022</t>
        </is>
      </c>
      <c r="B577" s="1" t="n">
        <v>44888</v>
      </c>
      <c r="C577" s="1" t="n">
        <v>45564</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v>
      </c>
      <c r="C578" s="1" t="n">
        <v>45564</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57247-2022</t>
        </is>
      </c>
      <c r="B579" s="1" t="n">
        <v>44895</v>
      </c>
      <c r="C579" s="1" t="n">
        <v>45564</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57243-2022</t>
        </is>
      </c>
      <c r="B580" s="1" t="n">
        <v>44895</v>
      </c>
      <c r="C580" s="1" t="n">
        <v>45564</v>
      </c>
      <c r="D580" t="inlineStr">
        <is>
          <t>ÖREBRO LÄN</t>
        </is>
      </c>
      <c r="E580" t="inlineStr">
        <is>
          <t>ÖREBRO</t>
        </is>
      </c>
      <c r="G580" t="n">
        <v>6</v>
      </c>
      <c r="H580" t="n">
        <v>0</v>
      </c>
      <c r="I580" t="n">
        <v>0</v>
      </c>
      <c r="J580" t="n">
        <v>0</v>
      </c>
      <c r="K580" t="n">
        <v>0</v>
      </c>
      <c r="L580" t="n">
        <v>0</v>
      </c>
      <c r="M580" t="n">
        <v>0</v>
      </c>
      <c r="N580" t="n">
        <v>0</v>
      </c>
      <c r="O580" t="n">
        <v>0</v>
      </c>
      <c r="P580" t="n">
        <v>0</v>
      </c>
      <c r="Q580" t="n">
        <v>0</v>
      </c>
      <c r="R580" s="2" t="inlineStr"/>
    </row>
    <row r="581" ht="15" customHeight="1">
      <c r="A581" t="inlineStr">
        <is>
          <t>A 57638-2022</t>
        </is>
      </c>
      <c r="B581" s="1" t="n">
        <v>44897</v>
      </c>
      <c r="C581" s="1" t="n">
        <v>45564</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58277-2022</t>
        </is>
      </c>
      <c r="B582" s="1" t="n">
        <v>44901</v>
      </c>
      <c r="C582" s="1" t="n">
        <v>45564</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58551-2022</t>
        </is>
      </c>
      <c r="B583" s="1" t="n">
        <v>44902</v>
      </c>
      <c r="C583" s="1" t="n">
        <v>45564</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45564</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58595-2022</t>
        </is>
      </c>
      <c r="B585" s="1" t="n">
        <v>44902</v>
      </c>
      <c r="C585" s="1" t="n">
        <v>45564</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58598-2022</t>
        </is>
      </c>
      <c r="B586" s="1" t="n">
        <v>44902</v>
      </c>
      <c r="C586" s="1" t="n">
        <v>45564</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60262-2022</t>
        </is>
      </c>
      <c r="B587" s="1" t="n">
        <v>44910</v>
      </c>
      <c r="C587" s="1" t="n">
        <v>45564</v>
      </c>
      <c r="D587" t="inlineStr">
        <is>
          <t>ÖREBRO LÄN</t>
        </is>
      </c>
      <c r="E587" t="inlineStr">
        <is>
          <t>ÖREBRO</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60769-2022</t>
        </is>
      </c>
      <c r="B588" s="1" t="n">
        <v>44914</v>
      </c>
      <c r="C588" s="1" t="n">
        <v>45564</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61123-2022</t>
        </is>
      </c>
      <c r="B589" s="1" t="n">
        <v>44915</v>
      </c>
      <c r="C589" s="1" t="n">
        <v>45564</v>
      </c>
      <c r="D589" t="inlineStr">
        <is>
          <t>ÖREBRO LÄN</t>
        </is>
      </c>
      <c r="E589" t="inlineStr">
        <is>
          <t>ÖREBRO</t>
        </is>
      </c>
      <c r="G589" t="n">
        <v>7.7</v>
      </c>
      <c r="H589" t="n">
        <v>0</v>
      </c>
      <c r="I589" t="n">
        <v>0</v>
      </c>
      <c r="J589" t="n">
        <v>0</v>
      </c>
      <c r="K589" t="n">
        <v>0</v>
      </c>
      <c r="L589" t="n">
        <v>0</v>
      </c>
      <c r="M589" t="n">
        <v>0</v>
      </c>
      <c r="N589" t="n">
        <v>0</v>
      </c>
      <c r="O589" t="n">
        <v>0</v>
      </c>
      <c r="P589" t="n">
        <v>0</v>
      </c>
      <c r="Q589" t="n">
        <v>0</v>
      </c>
      <c r="R589" s="2" t="inlineStr"/>
    </row>
    <row r="590" ht="15" customHeight="1">
      <c r="A590" t="inlineStr">
        <is>
          <t>A 5118-2023</t>
        </is>
      </c>
      <c r="B590" s="1" t="n">
        <v>44922</v>
      </c>
      <c r="C590" s="1" t="n">
        <v>45564</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1346-2023</t>
        </is>
      </c>
      <c r="B591" s="1" t="n">
        <v>44936</v>
      </c>
      <c r="C591" s="1" t="n">
        <v>45564</v>
      </c>
      <c r="D591" t="inlineStr">
        <is>
          <t>ÖREBRO LÄN</t>
        </is>
      </c>
      <c r="E591" t="inlineStr">
        <is>
          <t>ÖREBRO</t>
        </is>
      </c>
      <c r="G591" t="n">
        <v>4.1</v>
      </c>
      <c r="H591" t="n">
        <v>0</v>
      </c>
      <c r="I591" t="n">
        <v>0</v>
      </c>
      <c r="J591" t="n">
        <v>0</v>
      </c>
      <c r="K591" t="n">
        <v>0</v>
      </c>
      <c r="L591" t="n">
        <v>0</v>
      </c>
      <c r="M591" t="n">
        <v>0</v>
      </c>
      <c r="N591" t="n">
        <v>0</v>
      </c>
      <c r="O591" t="n">
        <v>0</v>
      </c>
      <c r="P591" t="n">
        <v>0</v>
      </c>
      <c r="Q591" t="n">
        <v>0</v>
      </c>
      <c r="R591" s="2" t="inlineStr"/>
    </row>
    <row r="592" ht="15" customHeight="1">
      <c r="A592" t="inlineStr">
        <is>
          <t>A 1767-2023</t>
        </is>
      </c>
      <c r="B592" s="1" t="n">
        <v>44938</v>
      </c>
      <c r="C592" s="1" t="n">
        <v>45564</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2077-2023</t>
        </is>
      </c>
      <c r="B593" s="1" t="n">
        <v>44939</v>
      </c>
      <c r="C593" s="1" t="n">
        <v>45564</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v>
      </c>
      <c r="C594" s="1" t="n">
        <v>45564</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2153-2023</t>
        </is>
      </c>
      <c r="B595" s="1" t="n">
        <v>44941</v>
      </c>
      <c r="C595" s="1" t="n">
        <v>45564</v>
      </c>
      <c r="D595" t="inlineStr">
        <is>
          <t>ÖREBRO LÄN</t>
        </is>
      </c>
      <c r="E595" t="inlineStr">
        <is>
          <t>ÖREBRO</t>
        </is>
      </c>
      <c r="G595" t="n">
        <v>6.3</v>
      </c>
      <c r="H595" t="n">
        <v>0</v>
      </c>
      <c r="I595" t="n">
        <v>0</v>
      </c>
      <c r="J595" t="n">
        <v>0</v>
      </c>
      <c r="K595" t="n">
        <v>0</v>
      </c>
      <c r="L595" t="n">
        <v>0</v>
      </c>
      <c r="M595" t="n">
        <v>0</v>
      </c>
      <c r="N595" t="n">
        <v>0</v>
      </c>
      <c r="O595" t="n">
        <v>0</v>
      </c>
      <c r="P595" t="n">
        <v>0</v>
      </c>
      <c r="Q595" t="n">
        <v>0</v>
      </c>
      <c r="R595" s="2" t="inlineStr"/>
    </row>
    <row r="596" ht="15" customHeight="1">
      <c r="A596" t="inlineStr">
        <is>
          <t>A 2318-2023</t>
        </is>
      </c>
      <c r="B596" s="1" t="n">
        <v>44942</v>
      </c>
      <c r="C596" s="1" t="n">
        <v>45564</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2288-2023</t>
        </is>
      </c>
      <c r="B597" s="1" t="n">
        <v>44942</v>
      </c>
      <c r="C597" s="1" t="n">
        <v>45564</v>
      </c>
      <c r="D597" t="inlineStr">
        <is>
          <t>ÖREBRO LÄN</t>
        </is>
      </c>
      <c r="E597" t="inlineStr">
        <is>
          <t>ÖREBRO</t>
        </is>
      </c>
      <c r="G597" t="n">
        <v>2.9</v>
      </c>
      <c r="H597" t="n">
        <v>0</v>
      </c>
      <c r="I597" t="n">
        <v>0</v>
      </c>
      <c r="J597" t="n">
        <v>0</v>
      </c>
      <c r="K597" t="n">
        <v>0</v>
      </c>
      <c r="L597" t="n">
        <v>0</v>
      </c>
      <c r="M597" t="n">
        <v>0</v>
      </c>
      <c r="N597" t="n">
        <v>0</v>
      </c>
      <c r="O597" t="n">
        <v>0</v>
      </c>
      <c r="P597" t="n">
        <v>0</v>
      </c>
      <c r="Q597" t="n">
        <v>0</v>
      </c>
      <c r="R597" s="2" t="inlineStr"/>
    </row>
    <row r="598" ht="15" customHeight="1">
      <c r="A598" t="inlineStr">
        <is>
          <t>A 2630-2023</t>
        </is>
      </c>
      <c r="B598" s="1" t="n">
        <v>44944</v>
      </c>
      <c r="C598" s="1" t="n">
        <v>45564</v>
      </c>
      <c r="D598" t="inlineStr">
        <is>
          <t>ÖREBRO LÄN</t>
        </is>
      </c>
      <c r="E598" t="inlineStr">
        <is>
          <t>ÖREBRO</t>
        </is>
      </c>
      <c r="G598" t="n">
        <v>6.1</v>
      </c>
      <c r="H598" t="n">
        <v>0</v>
      </c>
      <c r="I598" t="n">
        <v>0</v>
      </c>
      <c r="J598" t="n">
        <v>0</v>
      </c>
      <c r="K598" t="n">
        <v>0</v>
      </c>
      <c r="L598" t="n">
        <v>0</v>
      </c>
      <c r="M598" t="n">
        <v>0</v>
      </c>
      <c r="N598" t="n">
        <v>0</v>
      </c>
      <c r="O598" t="n">
        <v>0</v>
      </c>
      <c r="P598" t="n">
        <v>0</v>
      </c>
      <c r="Q598" t="n">
        <v>0</v>
      </c>
      <c r="R598" s="2" t="inlineStr"/>
    </row>
    <row r="599" ht="15" customHeight="1">
      <c r="A599" t="inlineStr">
        <is>
          <t>A 2658-2023</t>
        </is>
      </c>
      <c r="B599" s="1" t="n">
        <v>44944</v>
      </c>
      <c r="C599" s="1" t="n">
        <v>45564</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2771-2023</t>
        </is>
      </c>
      <c r="B600" s="1" t="n">
        <v>44944</v>
      </c>
      <c r="C600" s="1" t="n">
        <v>45564</v>
      </c>
      <c r="D600" t="inlineStr">
        <is>
          <t>ÖREBRO LÄN</t>
        </is>
      </c>
      <c r="E600" t="inlineStr">
        <is>
          <t>ÖREBRO</t>
        </is>
      </c>
      <c r="G600" t="n">
        <v>15.4</v>
      </c>
      <c r="H600" t="n">
        <v>0</v>
      </c>
      <c r="I600" t="n">
        <v>0</v>
      </c>
      <c r="J600" t="n">
        <v>0</v>
      </c>
      <c r="K600" t="n">
        <v>0</v>
      </c>
      <c r="L600" t="n">
        <v>0</v>
      </c>
      <c r="M600" t="n">
        <v>0</v>
      </c>
      <c r="N600" t="n">
        <v>0</v>
      </c>
      <c r="O600" t="n">
        <v>0</v>
      </c>
      <c r="P600" t="n">
        <v>0</v>
      </c>
      <c r="Q600" t="n">
        <v>0</v>
      </c>
      <c r="R600" s="2" t="inlineStr"/>
    </row>
    <row r="601" ht="15" customHeight="1">
      <c r="A601" t="inlineStr">
        <is>
          <t>A 3791-2023</t>
        </is>
      </c>
      <c r="B601" s="1" t="n">
        <v>44951</v>
      </c>
      <c r="C601" s="1" t="n">
        <v>45564</v>
      </c>
      <c r="D601" t="inlineStr">
        <is>
          <t>ÖREBRO LÄN</t>
        </is>
      </c>
      <c r="E601" t="inlineStr">
        <is>
          <t>ÖREBRO</t>
        </is>
      </c>
      <c r="G601" t="n">
        <v>3.7</v>
      </c>
      <c r="H601" t="n">
        <v>0</v>
      </c>
      <c r="I601" t="n">
        <v>0</v>
      </c>
      <c r="J601" t="n">
        <v>0</v>
      </c>
      <c r="K601" t="n">
        <v>0</v>
      </c>
      <c r="L601" t="n">
        <v>0</v>
      </c>
      <c r="M601" t="n">
        <v>0</v>
      </c>
      <c r="N601" t="n">
        <v>0</v>
      </c>
      <c r="O601" t="n">
        <v>0</v>
      </c>
      <c r="P601" t="n">
        <v>0</v>
      </c>
      <c r="Q601" t="n">
        <v>0</v>
      </c>
      <c r="R601" s="2" t="inlineStr"/>
    </row>
    <row r="602" ht="15" customHeight="1">
      <c r="A602" t="inlineStr">
        <is>
          <t>A 3789-2023</t>
        </is>
      </c>
      <c r="B602" s="1" t="n">
        <v>44951</v>
      </c>
      <c r="C602" s="1" t="n">
        <v>45564</v>
      </c>
      <c r="D602" t="inlineStr">
        <is>
          <t>ÖREBRO LÄN</t>
        </is>
      </c>
      <c r="E602" t="inlineStr">
        <is>
          <t>ÖREBRO</t>
        </is>
      </c>
      <c r="G602" t="n">
        <v>7.5</v>
      </c>
      <c r="H602" t="n">
        <v>0</v>
      </c>
      <c r="I602" t="n">
        <v>0</v>
      </c>
      <c r="J602" t="n">
        <v>0</v>
      </c>
      <c r="K602" t="n">
        <v>0</v>
      </c>
      <c r="L602" t="n">
        <v>0</v>
      </c>
      <c r="M602" t="n">
        <v>0</v>
      </c>
      <c r="N602" t="n">
        <v>0</v>
      </c>
      <c r="O602" t="n">
        <v>0</v>
      </c>
      <c r="P602" t="n">
        <v>0</v>
      </c>
      <c r="Q602" t="n">
        <v>0</v>
      </c>
      <c r="R602" s="2" t="inlineStr"/>
    </row>
    <row r="603" ht="15" customHeight="1">
      <c r="A603" t="inlineStr">
        <is>
          <t>A 3835-2023</t>
        </is>
      </c>
      <c r="B603" s="1" t="n">
        <v>44951</v>
      </c>
      <c r="C603" s="1" t="n">
        <v>45564</v>
      </c>
      <c r="D603" t="inlineStr">
        <is>
          <t>ÖREBRO LÄN</t>
        </is>
      </c>
      <c r="E603" t="inlineStr">
        <is>
          <t>ÖREBRO</t>
        </is>
      </c>
      <c r="G603" t="n">
        <v>7.4</v>
      </c>
      <c r="H603" t="n">
        <v>0</v>
      </c>
      <c r="I603" t="n">
        <v>0</v>
      </c>
      <c r="J603" t="n">
        <v>0</v>
      </c>
      <c r="K603" t="n">
        <v>0</v>
      </c>
      <c r="L603" t="n">
        <v>0</v>
      </c>
      <c r="M603" t="n">
        <v>0</v>
      </c>
      <c r="N603" t="n">
        <v>0</v>
      </c>
      <c r="O603" t="n">
        <v>0</v>
      </c>
      <c r="P603" t="n">
        <v>0</v>
      </c>
      <c r="Q603" t="n">
        <v>0</v>
      </c>
      <c r="R603" s="2" t="inlineStr"/>
    </row>
    <row r="604" ht="15" customHeight="1">
      <c r="A604" t="inlineStr">
        <is>
          <t>A 3841-2023</t>
        </is>
      </c>
      <c r="B604" s="1" t="n">
        <v>44951</v>
      </c>
      <c r="C604" s="1" t="n">
        <v>45564</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3967-2023</t>
        </is>
      </c>
      <c r="B605" s="1" t="n">
        <v>44952</v>
      </c>
      <c r="C605" s="1" t="n">
        <v>45564</v>
      </c>
      <c r="D605" t="inlineStr">
        <is>
          <t>ÖREBRO LÄN</t>
        </is>
      </c>
      <c r="E605" t="inlineStr">
        <is>
          <t>ÖREBRO</t>
        </is>
      </c>
      <c r="G605" t="n">
        <v>5.2</v>
      </c>
      <c r="H605" t="n">
        <v>0</v>
      </c>
      <c r="I605" t="n">
        <v>0</v>
      </c>
      <c r="J605" t="n">
        <v>0</v>
      </c>
      <c r="K605" t="n">
        <v>0</v>
      </c>
      <c r="L605" t="n">
        <v>0</v>
      </c>
      <c r="M605" t="n">
        <v>0</v>
      </c>
      <c r="N605" t="n">
        <v>0</v>
      </c>
      <c r="O605" t="n">
        <v>0</v>
      </c>
      <c r="P605" t="n">
        <v>0</v>
      </c>
      <c r="Q605" t="n">
        <v>0</v>
      </c>
      <c r="R605" s="2" t="inlineStr"/>
    </row>
    <row r="606" ht="15" customHeight="1">
      <c r="A606" t="inlineStr">
        <is>
          <t>A 3964-2023</t>
        </is>
      </c>
      <c r="B606" s="1" t="n">
        <v>44952</v>
      </c>
      <c r="C606" s="1" t="n">
        <v>45564</v>
      </c>
      <c r="D606" t="inlineStr">
        <is>
          <t>ÖREBRO LÄN</t>
        </is>
      </c>
      <c r="E606" t="inlineStr">
        <is>
          <t>ÖREBRO</t>
        </is>
      </c>
      <c r="G606" t="n">
        <v>9.9</v>
      </c>
      <c r="H606" t="n">
        <v>0</v>
      </c>
      <c r="I606" t="n">
        <v>0</v>
      </c>
      <c r="J606" t="n">
        <v>0</v>
      </c>
      <c r="K606" t="n">
        <v>0</v>
      </c>
      <c r="L606" t="n">
        <v>0</v>
      </c>
      <c r="M606" t="n">
        <v>0</v>
      </c>
      <c r="N606" t="n">
        <v>0</v>
      </c>
      <c r="O606" t="n">
        <v>0</v>
      </c>
      <c r="P606" t="n">
        <v>0</v>
      </c>
      <c r="Q606" t="n">
        <v>0</v>
      </c>
      <c r="R606" s="2" t="inlineStr"/>
    </row>
    <row r="607" ht="15" customHeight="1">
      <c r="A607" t="inlineStr">
        <is>
          <t>A 3968-2023</t>
        </is>
      </c>
      <c r="B607" s="1" t="n">
        <v>44952</v>
      </c>
      <c r="C607" s="1" t="n">
        <v>45564</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3958-2023</t>
        </is>
      </c>
      <c r="B608" s="1" t="n">
        <v>44952</v>
      </c>
      <c r="C608" s="1" t="n">
        <v>45564</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5120-2023</t>
        </is>
      </c>
      <c r="B609" s="1" t="n">
        <v>44953</v>
      </c>
      <c r="C609" s="1" t="n">
        <v>45564</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v>
      </c>
      <c r="C610" s="1" t="n">
        <v>45564</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4416-2023</t>
        </is>
      </c>
      <c r="B611" s="1" t="n">
        <v>44956</v>
      </c>
      <c r="C611" s="1" t="n">
        <v>45564</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45564</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5847-2023</t>
        </is>
      </c>
      <c r="B613" s="1" t="n">
        <v>44963</v>
      </c>
      <c r="C613" s="1" t="n">
        <v>45564</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5883-2023</t>
        </is>
      </c>
      <c r="B614" s="1" t="n">
        <v>44963</v>
      </c>
      <c r="C614" s="1" t="n">
        <v>45564</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6513-2023</t>
        </is>
      </c>
      <c r="B615" s="1" t="n">
        <v>44966</v>
      </c>
      <c r="C615" s="1" t="n">
        <v>45564</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6522-2023</t>
        </is>
      </c>
      <c r="B616" s="1" t="n">
        <v>44966</v>
      </c>
      <c r="C616" s="1" t="n">
        <v>45564</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6528-2023</t>
        </is>
      </c>
      <c r="B617" s="1" t="n">
        <v>44966</v>
      </c>
      <c r="C617" s="1" t="n">
        <v>45564</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8584-2023</t>
        </is>
      </c>
      <c r="B618" s="1" t="n">
        <v>44977</v>
      </c>
      <c r="C618" s="1" t="n">
        <v>45564</v>
      </c>
      <c r="D618" t="inlineStr">
        <is>
          <t>ÖREBRO LÄN</t>
        </is>
      </c>
      <c r="E618" t="inlineStr">
        <is>
          <t>ÖREBRO</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v>
      </c>
      <c r="C619" s="1" t="n">
        <v>45564</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9609-2023</t>
        </is>
      </c>
      <c r="B620" s="1" t="n">
        <v>44983</v>
      </c>
      <c r="C620" s="1" t="n">
        <v>45564</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9704-2023</t>
        </is>
      </c>
      <c r="B621" s="1" t="n">
        <v>44984</v>
      </c>
      <c r="C621" s="1" t="n">
        <v>45564</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10339-2023</t>
        </is>
      </c>
      <c r="B622" s="1" t="n">
        <v>44987</v>
      </c>
      <c r="C622" s="1" t="n">
        <v>45564</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10832-2023</t>
        </is>
      </c>
      <c r="B623" s="1" t="n">
        <v>44990</v>
      </c>
      <c r="C623" s="1" t="n">
        <v>45564</v>
      </c>
      <c r="D623" t="inlineStr">
        <is>
          <t>ÖREBRO LÄN</t>
        </is>
      </c>
      <c r="E623" t="inlineStr">
        <is>
          <t>ÖREBRO</t>
        </is>
      </c>
      <c r="G623" t="n">
        <v>1.4</v>
      </c>
      <c r="H623" t="n">
        <v>0</v>
      </c>
      <c r="I623" t="n">
        <v>0</v>
      </c>
      <c r="J623" t="n">
        <v>0</v>
      </c>
      <c r="K623" t="n">
        <v>0</v>
      </c>
      <c r="L623" t="n">
        <v>0</v>
      </c>
      <c r="M623" t="n">
        <v>0</v>
      </c>
      <c r="N623" t="n">
        <v>0</v>
      </c>
      <c r="O623" t="n">
        <v>0</v>
      </c>
      <c r="P623" t="n">
        <v>0</v>
      </c>
      <c r="Q623" t="n">
        <v>0</v>
      </c>
      <c r="R623" s="2" t="inlineStr"/>
    </row>
    <row r="624" ht="15" customHeight="1">
      <c r="A624" t="inlineStr">
        <is>
          <t>A 10829-2023</t>
        </is>
      </c>
      <c r="B624" s="1" t="n">
        <v>44990</v>
      </c>
      <c r="C624" s="1" t="n">
        <v>45564</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10831-2023</t>
        </is>
      </c>
      <c r="B625" s="1" t="n">
        <v>44990</v>
      </c>
      <c r="C625" s="1" t="n">
        <v>45564</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10830-2023</t>
        </is>
      </c>
      <c r="B626" s="1" t="n">
        <v>44990</v>
      </c>
      <c r="C626" s="1" t="n">
        <v>45564</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11118-2023</t>
        </is>
      </c>
      <c r="B627" s="1" t="n">
        <v>44992</v>
      </c>
      <c r="C627" s="1" t="n">
        <v>45564</v>
      </c>
      <c r="D627" t="inlineStr">
        <is>
          <t>ÖREBRO LÄN</t>
        </is>
      </c>
      <c r="E627" t="inlineStr">
        <is>
          <t>ÖREBRO</t>
        </is>
      </c>
      <c r="G627" t="n">
        <v>2.5</v>
      </c>
      <c r="H627" t="n">
        <v>0</v>
      </c>
      <c r="I627" t="n">
        <v>0</v>
      </c>
      <c r="J627" t="n">
        <v>0</v>
      </c>
      <c r="K627" t="n">
        <v>0</v>
      </c>
      <c r="L627" t="n">
        <v>0</v>
      </c>
      <c r="M627" t="n">
        <v>0</v>
      </c>
      <c r="N627" t="n">
        <v>0</v>
      </c>
      <c r="O627" t="n">
        <v>0</v>
      </c>
      <c r="P627" t="n">
        <v>0</v>
      </c>
      <c r="Q627" t="n">
        <v>0</v>
      </c>
      <c r="R627" s="2" t="inlineStr"/>
    </row>
    <row r="628" ht="15" customHeight="1">
      <c r="A628" t="inlineStr">
        <is>
          <t>A 11473-2023</t>
        </is>
      </c>
      <c r="B628" s="1" t="n">
        <v>44993</v>
      </c>
      <c r="C628" s="1" t="n">
        <v>45564</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11382-2023</t>
        </is>
      </c>
      <c r="B629" s="1" t="n">
        <v>44993</v>
      </c>
      <c r="C629" s="1" t="n">
        <v>45564</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11391-2023</t>
        </is>
      </c>
      <c r="B630" s="1" t="n">
        <v>44993</v>
      </c>
      <c r="C630" s="1" t="n">
        <v>45564</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11565-2023</t>
        </is>
      </c>
      <c r="B631" s="1" t="n">
        <v>44994</v>
      </c>
      <c r="C631" s="1" t="n">
        <v>45564</v>
      </c>
      <c r="D631" t="inlineStr">
        <is>
          <t>ÖREBRO LÄN</t>
        </is>
      </c>
      <c r="E631" t="inlineStr">
        <is>
          <t>ÖREBRO</t>
        </is>
      </c>
      <c r="G631" t="n">
        <v>4.7</v>
      </c>
      <c r="H631" t="n">
        <v>0</v>
      </c>
      <c r="I631" t="n">
        <v>0</v>
      </c>
      <c r="J631" t="n">
        <v>0</v>
      </c>
      <c r="K631" t="n">
        <v>0</v>
      </c>
      <c r="L631" t="n">
        <v>0</v>
      </c>
      <c r="M631" t="n">
        <v>0</v>
      </c>
      <c r="N631" t="n">
        <v>0</v>
      </c>
      <c r="O631" t="n">
        <v>0</v>
      </c>
      <c r="P631" t="n">
        <v>0</v>
      </c>
      <c r="Q631" t="n">
        <v>0</v>
      </c>
      <c r="R631" s="2" t="inlineStr"/>
    </row>
    <row r="632" ht="15" customHeight="1">
      <c r="A632" t="inlineStr">
        <is>
          <t>A 12099-2023</t>
        </is>
      </c>
      <c r="B632" s="1" t="n">
        <v>44998</v>
      </c>
      <c r="C632" s="1" t="n">
        <v>45564</v>
      </c>
      <c r="D632" t="inlineStr">
        <is>
          <t>ÖREBRO LÄN</t>
        </is>
      </c>
      <c r="E632" t="inlineStr">
        <is>
          <t>ÖREBRO</t>
        </is>
      </c>
      <c r="G632" t="n">
        <v>0.9</v>
      </c>
      <c r="H632" t="n">
        <v>0</v>
      </c>
      <c r="I632" t="n">
        <v>0</v>
      </c>
      <c r="J632" t="n">
        <v>0</v>
      </c>
      <c r="K632" t="n">
        <v>0</v>
      </c>
      <c r="L632" t="n">
        <v>0</v>
      </c>
      <c r="M632" t="n">
        <v>0</v>
      </c>
      <c r="N632" t="n">
        <v>0</v>
      </c>
      <c r="O632" t="n">
        <v>0</v>
      </c>
      <c r="P632" t="n">
        <v>0</v>
      </c>
      <c r="Q632" t="n">
        <v>0</v>
      </c>
      <c r="R632" s="2" t="inlineStr"/>
    </row>
    <row r="633" ht="15" customHeight="1">
      <c r="A633" t="inlineStr">
        <is>
          <t>A 12102-2023</t>
        </is>
      </c>
      <c r="B633" s="1" t="n">
        <v>44998</v>
      </c>
      <c r="C633" s="1" t="n">
        <v>45564</v>
      </c>
      <c r="D633" t="inlineStr">
        <is>
          <t>ÖREBRO LÄN</t>
        </is>
      </c>
      <c r="E633" t="inlineStr">
        <is>
          <t>ÖREBRO</t>
        </is>
      </c>
      <c r="G633" t="n">
        <v>3.5</v>
      </c>
      <c r="H633" t="n">
        <v>0</v>
      </c>
      <c r="I633" t="n">
        <v>0</v>
      </c>
      <c r="J633" t="n">
        <v>0</v>
      </c>
      <c r="K633" t="n">
        <v>0</v>
      </c>
      <c r="L633" t="n">
        <v>0</v>
      </c>
      <c r="M633" t="n">
        <v>0</v>
      </c>
      <c r="N633" t="n">
        <v>0</v>
      </c>
      <c r="O633" t="n">
        <v>0</v>
      </c>
      <c r="P633" t="n">
        <v>0</v>
      </c>
      <c r="Q633" t="n">
        <v>0</v>
      </c>
      <c r="R633" s="2" t="inlineStr"/>
    </row>
    <row r="634" ht="15" customHeight="1">
      <c r="A634" t="inlineStr">
        <is>
          <t>A 12245-2023</t>
        </is>
      </c>
      <c r="B634" s="1" t="n">
        <v>44998</v>
      </c>
      <c r="C634" s="1" t="n">
        <v>45564</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12638-2023</t>
        </is>
      </c>
      <c r="B635" s="1" t="n">
        <v>45000</v>
      </c>
      <c r="C635" s="1" t="n">
        <v>45564</v>
      </c>
      <c r="D635" t="inlineStr">
        <is>
          <t>ÖREBRO LÄN</t>
        </is>
      </c>
      <c r="E635" t="inlineStr">
        <is>
          <t>ÖREBRO</t>
        </is>
      </c>
      <c r="F635" t="inlineStr">
        <is>
          <t>Övriga Aktiebolag</t>
        </is>
      </c>
      <c r="G635" t="n">
        <v>6.3</v>
      </c>
      <c r="H635" t="n">
        <v>0</v>
      </c>
      <c r="I635" t="n">
        <v>0</v>
      </c>
      <c r="J635" t="n">
        <v>0</v>
      </c>
      <c r="K635" t="n">
        <v>0</v>
      </c>
      <c r="L635" t="n">
        <v>0</v>
      </c>
      <c r="M635" t="n">
        <v>0</v>
      </c>
      <c r="N635" t="n">
        <v>0</v>
      </c>
      <c r="O635" t="n">
        <v>0</v>
      </c>
      <c r="P635" t="n">
        <v>0</v>
      </c>
      <c r="Q635" t="n">
        <v>0</v>
      </c>
      <c r="R635" s="2" t="inlineStr"/>
    </row>
    <row r="636" ht="15" customHeight="1">
      <c r="A636" t="inlineStr">
        <is>
          <t>A 12682-2023</t>
        </is>
      </c>
      <c r="B636" s="1" t="n">
        <v>45000</v>
      </c>
      <c r="C636" s="1" t="n">
        <v>45564</v>
      </c>
      <c r="D636" t="inlineStr">
        <is>
          <t>ÖREBRO LÄN</t>
        </is>
      </c>
      <c r="E636" t="inlineStr">
        <is>
          <t>ÖREBRO</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13181-2023</t>
        </is>
      </c>
      <c r="B637" s="1" t="n">
        <v>45002</v>
      </c>
      <c r="C637" s="1" t="n">
        <v>45564</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13355-2023</t>
        </is>
      </c>
      <c r="B638" s="1" t="n">
        <v>45004</v>
      </c>
      <c r="C638" s="1" t="n">
        <v>45564</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13347-2023</t>
        </is>
      </c>
      <c r="B639" s="1" t="n">
        <v>45004</v>
      </c>
      <c r="C639" s="1" t="n">
        <v>45564</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13592-2023</t>
        </is>
      </c>
      <c r="B640" s="1" t="n">
        <v>45006</v>
      </c>
      <c r="C640" s="1" t="n">
        <v>45564</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13762-2023</t>
        </is>
      </c>
      <c r="B641" s="1" t="n">
        <v>45007</v>
      </c>
      <c r="C641" s="1" t="n">
        <v>45564</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13763-2023</t>
        </is>
      </c>
      <c r="B642" s="1" t="n">
        <v>45007</v>
      </c>
      <c r="C642" s="1" t="n">
        <v>45564</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13764-2023</t>
        </is>
      </c>
      <c r="B643" s="1" t="n">
        <v>45007</v>
      </c>
      <c r="C643" s="1" t="n">
        <v>45564</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14003-2023</t>
        </is>
      </c>
      <c r="B644" s="1" t="n">
        <v>45007</v>
      </c>
      <c r="C644" s="1" t="n">
        <v>45564</v>
      </c>
      <c r="D644" t="inlineStr">
        <is>
          <t>ÖREBRO LÄN</t>
        </is>
      </c>
      <c r="E644" t="inlineStr">
        <is>
          <t>ÖREBRO</t>
        </is>
      </c>
      <c r="G644" t="n">
        <v>3.1</v>
      </c>
      <c r="H644" t="n">
        <v>0</v>
      </c>
      <c r="I644" t="n">
        <v>0</v>
      </c>
      <c r="J644" t="n">
        <v>0</v>
      </c>
      <c r="K644" t="n">
        <v>0</v>
      </c>
      <c r="L644" t="n">
        <v>0</v>
      </c>
      <c r="M644" t="n">
        <v>0</v>
      </c>
      <c r="N644" t="n">
        <v>0</v>
      </c>
      <c r="O644" t="n">
        <v>0</v>
      </c>
      <c r="P644" t="n">
        <v>0</v>
      </c>
      <c r="Q644" t="n">
        <v>0</v>
      </c>
      <c r="R644" s="2" t="inlineStr"/>
    </row>
    <row r="645" ht="15" customHeight="1">
      <c r="A645" t="inlineStr">
        <is>
          <t>A 13912-2023</t>
        </is>
      </c>
      <c r="B645" s="1" t="n">
        <v>45008</v>
      </c>
      <c r="C645" s="1" t="n">
        <v>45564</v>
      </c>
      <c r="D645" t="inlineStr">
        <is>
          <t>ÖREBRO LÄN</t>
        </is>
      </c>
      <c r="E645" t="inlineStr">
        <is>
          <t>ÖREBRO</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14289-2023</t>
        </is>
      </c>
      <c r="B646" s="1" t="n">
        <v>45010</v>
      </c>
      <c r="C646" s="1" t="n">
        <v>45564</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14291-2023</t>
        </is>
      </c>
      <c r="B647" s="1" t="n">
        <v>45010</v>
      </c>
      <c r="C647" s="1" t="n">
        <v>45564</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14290-2023</t>
        </is>
      </c>
      <c r="B648" s="1" t="n">
        <v>45010</v>
      </c>
      <c r="C648" s="1" t="n">
        <v>45564</v>
      </c>
      <c r="D648" t="inlineStr">
        <is>
          <t>ÖREBRO LÄN</t>
        </is>
      </c>
      <c r="E648" t="inlineStr">
        <is>
          <t>ÖREBRO</t>
        </is>
      </c>
      <c r="G648" t="n">
        <v>1.2</v>
      </c>
      <c r="H648" t="n">
        <v>0</v>
      </c>
      <c r="I648" t="n">
        <v>0</v>
      </c>
      <c r="J648" t="n">
        <v>0</v>
      </c>
      <c r="K648" t="n">
        <v>0</v>
      </c>
      <c r="L648" t="n">
        <v>0</v>
      </c>
      <c r="M648" t="n">
        <v>0</v>
      </c>
      <c r="N648" t="n">
        <v>0</v>
      </c>
      <c r="O648" t="n">
        <v>0</v>
      </c>
      <c r="P648" t="n">
        <v>0</v>
      </c>
      <c r="Q648" t="n">
        <v>0</v>
      </c>
      <c r="R648" s="2" t="inlineStr"/>
    </row>
    <row r="649" ht="15" customHeight="1">
      <c r="A649" t="inlineStr">
        <is>
          <t>A 14469-2023</t>
        </is>
      </c>
      <c r="B649" s="1" t="n">
        <v>45012</v>
      </c>
      <c r="C649" s="1" t="n">
        <v>45564</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14432-2023</t>
        </is>
      </c>
      <c r="B650" s="1" t="n">
        <v>45012</v>
      </c>
      <c r="C650" s="1" t="n">
        <v>45564</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14487-2023</t>
        </is>
      </c>
      <c r="B651" s="1" t="n">
        <v>45012</v>
      </c>
      <c r="C651" s="1" t="n">
        <v>45564</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14543-2023</t>
        </is>
      </c>
      <c r="B652" s="1" t="n">
        <v>45013</v>
      </c>
      <c r="C652" s="1" t="n">
        <v>45564</v>
      </c>
      <c r="D652" t="inlineStr">
        <is>
          <t>ÖREBRO LÄN</t>
        </is>
      </c>
      <c r="E652" t="inlineStr">
        <is>
          <t>ÖREBRO</t>
        </is>
      </c>
      <c r="G652" t="n">
        <v>4.5</v>
      </c>
      <c r="H652" t="n">
        <v>0</v>
      </c>
      <c r="I652" t="n">
        <v>0</v>
      </c>
      <c r="J652" t="n">
        <v>0</v>
      </c>
      <c r="K652" t="n">
        <v>0</v>
      </c>
      <c r="L652" t="n">
        <v>0</v>
      </c>
      <c r="M652" t="n">
        <v>0</v>
      </c>
      <c r="N652" t="n">
        <v>0</v>
      </c>
      <c r="O652" t="n">
        <v>0</v>
      </c>
      <c r="P652" t="n">
        <v>0</v>
      </c>
      <c r="Q652" t="n">
        <v>0</v>
      </c>
      <c r="R652" s="2" t="inlineStr"/>
    </row>
    <row r="653" ht="15" customHeight="1">
      <c r="A653" t="inlineStr">
        <is>
          <t>A 14544-2023</t>
        </is>
      </c>
      <c r="B653" s="1" t="n">
        <v>45013</v>
      </c>
      <c r="C653" s="1" t="n">
        <v>45564</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14571-2023</t>
        </is>
      </c>
      <c r="B654" s="1" t="n">
        <v>45013</v>
      </c>
      <c r="C654" s="1" t="n">
        <v>45564</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14545-2023</t>
        </is>
      </c>
      <c r="B655" s="1" t="n">
        <v>45013</v>
      </c>
      <c r="C655" s="1" t="n">
        <v>45564</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14630-2023</t>
        </is>
      </c>
      <c r="B656" s="1" t="n">
        <v>45013</v>
      </c>
      <c r="C656" s="1" t="n">
        <v>45564</v>
      </c>
      <c r="D656" t="inlineStr">
        <is>
          <t>ÖREBRO LÄN</t>
        </is>
      </c>
      <c r="E656" t="inlineStr">
        <is>
          <t>ÖREBRO</t>
        </is>
      </c>
      <c r="G656" t="n">
        <v>1.1</v>
      </c>
      <c r="H656" t="n">
        <v>0</v>
      </c>
      <c r="I656" t="n">
        <v>0</v>
      </c>
      <c r="J656" t="n">
        <v>0</v>
      </c>
      <c r="K656" t="n">
        <v>0</v>
      </c>
      <c r="L656" t="n">
        <v>0</v>
      </c>
      <c r="M656" t="n">
        <v>0</v>
      </c>
      <c r="N656" t="n">
        <v>0</v>
      </c>
      <c r="O656" t="n">
        <v>0</v>
      </c>
      <c r="P656" t="n">
        <v>0</v>
      </c>
      <c r="Q656" t="n">
        <v>0</v>
      </c>
      <c r="R656" s="2" t="inlineStr"/>
    </row>
    <row r="657" ht="15" customHeight="1">
      <c r="A657" t="inlineStr">
        <is>
          <t>A 15473-2023</t>
        </is>
      </c>
      <c r="B657" s="1" t="n">
        <v>45016</v>
      </c>
      <c r="C657" s="1" t="n">
        <v>45564</v>
      </c>
      <c r="D657" t="inlineStr">
        <is>
          <t>ÖREBRO LÄN</t>
        </is>
      </c>
      <c r="E657" t="inlineStr">
        <is>
          <t>ÖREBRO</t>
        </is>
      </c>
      <c r="G657" t="n">
        <v>3.8</v>
      </c>
      <c r="H657" t="n">
        <v>0</v>
      </c>
      <c r="I657" t="n">
        <v>0</v>
      </c>
      <c r="J657" t="n">
        <v>0</v>
      </c>
      <c r="K657" t="n">
        <v>0</v>
      </c>
      <c r="L657" t="n">
        <v>0</v>
      </c>
      <c r="M657" t="n">
        <v>0</v>
      </c>
      <c r="N657" t="n">
        <v>0</v>
      </c>
      <c r="O657" t="n">
        <v>0</v>
      </c>
      <c r="P657" t="n">
        <v>0</v>
      </c>
      <c r="Q657" t="n">
        <v>0</v>
      </c>
      <c r="R657" s="2" t="inlineStr"/>
    </row>
    <row r="658" ht="15" customHeight="1">
      <c r="A658" t="inlineStr">
        <is>
          <t>A 15679-2023</t>
        </is>
      </c>
      <c r="B658" s="1" t="n">
        <v>45021</v>
      </c>
      <c r="C658" s="1" t="n">
        <v>45564</v>
      </c>
      <c r="D658" t="inlineStr">
        <is>
          <t>ÖREBRO LÄN</t>
        </is>
      </c>
      <c r="E658" t="inlineStr">
        <is>
          <t>ÖREBRO</t>
        </is>
      </c>
      <c r="G658" t="n">
        <v>4.2</v>
      </c>
      <c r="H658" t="n">
        <v>0</v>
      </c>
      <c r="I658" t="n">
        <v>0</v>
      </c>
      <c r="J658" t="n">
        <v>0</v>
      </c>
      <c r="K658" t="n">
        <v>0</v>
      </c>
      <c r="L658" t="n">
        <v>0</v>
      </c>
      <c r="M658" t="n">
        <v>0</v>
      </c>
      <c r="N658" t="n">
        <v>0</v>
      </c>
      <c r="O658" t="n">
        <v>0</v>
      </c>
      <c r="P658" t="n">
        <v>0</v>
      </c>
      <c r="Q658" t="n">
        <v>0</v>
      </c>
      <c r="R658" s="2" t="inlineStr"/>
    </row>
    <row r="659" ht="15" customHeight="1">
      <c r="A659" t="inlineStr">
        <is>
          <t>A 15789-2023</t>
        </is>
      </c>
      <c r="B659" s="1" t="n">
        <v>45021</v>
      </c>
      <c r="C659" s="1" t="n">
        <v>45564</v>
      </c>
      <c r="D659" t="inlineStr">
        <is>
          <t>ÖREBRO LÄN</t>
        </is>
      </c>
      <c r="E659" t="inlineStr">
        <is>
          <t>ÖREBRO</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15682-2023</t>
        </is>
      </c>
      <c r="B660" s="1" t="n">
        <v>45021</v>
      </c>
      <c r="C660" s="1" t="n">
        <v>45564</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16140-2023</t>
        </is>
      </c>
      <c r="B661" s="1" t="n">
        <v>45027</v>
      </c>
      <c r="C661" s="1" t="n">
        <v>45564</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16165-2023</t>
        </is>
      </c>
      <c r="B662" s="1" t="n">
        <v>45027</v>
      </c>
      <c r="C662" s="1" t="n">
        <v>45564</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16908-2023</t>
        </is>
      </c>
      <c r="B663" s="1" t="n">
        <v>45028</v>
      </c>
      <c r="C663" s="1" t="n">
        <v>45564</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16498-2023</t>
        </is>
      </c>
      <c r="B664" s="1" t="n">
        <v>45029</v>
      </c>
      <c r="C664" s="1" t="n">
        <v>45564</v>
      </c>
      <c r="D664" t="inlineStr">
        <is>
          <t>ÖREBRO LÄN</t>
        </is>
      </c>
      <c r="E664" t="inlineStr">
        <is>
          <t>ÖREBRO</t>
        </is>
      </c>
      <c r="G664" t="n">
        <v>9.1</v>
      </c>
      <c r="H664" t="n">
        <v>0</v>
      </c>
      <c r="I664" t="n">
        <v>0</v>
      </c>
      <c r="J664" t="n">
        <v>0</v>
      </c>
      <c r="K664" t="n">
        <v>0</v>
      </c>
      <c r="L664" t="n">
        <v>0</v>
      </c>
      <c r="M664" t="n">
        <v>0</v>
      </c>
      <c r="N664" t="n">
        <v>0</v>
      </c>
      <c r="O664" t="n">
        <v>0</v>
      </c>
      <c r="P664" t="n">
        <v>0</v>
      </c>
      <c r="Q664" t="n">
        <v>0</v>
      </c>
      <c r="R664" s="2" t="inlineStr"/>
    </row>
    <row r="665" ht="15" customHeight="1">
      <c r="A665" t="inlineStr">
        <is>
          <t>A 16739-2023</t>
        </is>
      </c>
      <c r="B665" s="1" t="n">
        <v>45030</v>
      </c>
      <c r="C665" s="1" t="n">
        <v>45564</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16737-2023</t>
        </is>
      </c>
      <c r="B666" s="1" t="n">
        <v>45030</v>
      </c>
      <c r="C666" s="1" t="n">
        <v>45564</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16736-2023</t>
        </is>
      </c>
      <c r="B667" s="1" t="n">
        <v>45030</v>
      </c>
      <c r="C667" s="1" t="n">
        <v>45564</v>
      </c>
      <c r="D667" t="inlineStr">
        <is>
          <t>ÖREBRO LÄN</t>
        </is>
      </c>
      <c r="E667" t="inlineStr">
        <is>
          <t>ÖREBRO</t>
        </is>
      </c>
      <c r="G667" t="n">
        <v>4</v>
      </c>
      <c r="H667" t="n">
        <v>0</v>
      </c>
      <c r="I667" t="n">
        <v>0</v>
      </c>
      <c r="J667" t="n">
        <v>0</v>
      </c>
      <c r="K667" t="n">
        <v>0</v>
      </c>
      <c r="L667" t="n">
        <v>0</v>
      </c>
      <c r="M667" t="n">
        <v>0</v>
      </c>
      <c r="N667" t="n">
        <v>0</v>
      </c>
      <c r="O667" t="n">
        <v>0</v>
      </c>
      <c r="P667" t="n">
        <v>0</v>
      </c>
      <c r="Q667" t="n">
        <v>0</v>
      </c>
      <c r="R667" s="2" t="inlineStr"/>
    </row>
    <row r="668" ht="15" customHeight="1">
      <c r="A668" t="inlineStr">
        <is>
          <t>A 16742-2023</t>
        </is>
      </c>
      <c r="B668" s="1" t="n">
        <v>45030</v>
      </c>
      <c r="C668" s="1" t="n">
        <v>45564</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16936-2023</t>
        </is>
      </c>
      <c r="B669" s="1" t="n">
        <v>45033</v>
      </c>
      <c r="C669" s="1" t="n">
        <v>45564</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17465-2023</t>
        </is>
      </c>
      <c r="B670" s="1" t="n">
        <v>45036</v>
      </c>
      <c r="C670" s="1" t="n">
        <v>45564</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17476-2023</t>
        </is>
      </c>
      <c r="B671" s="1" t="n">
        <v>45036</v>
      </c>
      <c r="C671" s="1" t="n">
        <v>45564</v>
      </c>
      <c r="D671" t="inlineStr">
        <is>
          <t>ÖREBRO LÄN</t>
        </is>
      </c>
      <c r="E671" t="inlineStr">
        <is>
          <t>ÖREBRO</t>
        </is>
      </c>
      <c r="G671" t="n">
        <v>2.5</v>
      </c>
      <c r="H671" t="n">
        <v>0</v>
      </c>
      <c r="I671" t="n">
        <v>0</v>
      </c>
      <c r="J671" t="n">
        <v>0</v>
      </c>
      <c r="K671" t="n">
        <v>0</v>
      </c>
      <c r="L671" t="n">
        <v>0</v>
      </c>
      <c r="M671" t="n">
        <v>0</v>
      </c>
      <c r="N671" t="n">
        <v>0</v>
      </c>
      <c r="O671" t="n">
        <v>0</v>
      </c>
      <c r="P671" t="n">
        <v>0</v>
      </c>
      <c r="Q671" t="n">
        <v>0</v>
      </c>
      <c r="R671" s="2" t="inlineStr"/>
    </row>
    <row r="672" ht="15" customHeight="1">
      <c r="A672" t="inlineStr">
        <is>
          <t>A 18047-2023</t>
        </is>
      </c>
      <c r="B672" s="1" t="n">
        <v>45040</v>
      </c>
      <c r="C672" s="1" t="n">
        <v>45564</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18449-2023</t>
        </is>
      </c>
      <c r="B673" s="1" t="n">
        <v>45042</v>
      </c>
      <c r="C673" s="1" t="n">
        <v>45564</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18480-2023</t>
        </is>
      </c>
      <c r="B674" s="1" t="n">
        <v>45042</v>
      </c>
      <c r="C674" s="1" t="n">
        <v>45564</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18396-2023</t>
        </is>
      </c>
      <c r="B675" s="1" t="n">
        <v>45042</v>
      </c>
      <c r="C675" s="1" t="n">
        <v>45564</v>
      </c>
      <c r="D675" t="inlineStr">
        <is>
          <t>ÖREBRO LÄN</t>
        </is>
      </c>
      <c r="E675" t="inlineStr">
        <is>
          <t>ÖREBRO</t>
        </is>
      </c>
      <c r="G675" t="n">
        <v>26.8</v>
      </c>
      <c r="H675" t="n">
        <v>0</v>
      </c>
      <c r="I675" t="n">
        <v>0</v>
      </c>
      <c r="J675" t="n">
        <v>0</v>
      </c>
      <c r="K675" t="n">
        <v>0</v>
      </c>
      <c r="L675" t="n">
        <v>0</v>
      </c>
      <c r="M675" t="n">
        <v>0</v>
      </c>
      <c r="N675" t="n">
        <v>0</v>
      </c>
      <c r="O675" t="n">
        <v>0</v>
      </c>
      <c r="P675" t="n">
        <v>0</v>
      </c>
      <c r="Q675" t="n">
        <v>0</v>
      </c>
      <c r="R675" s="2" t="inlineStr"/>
    </row>
    <row r="676" ht="15" customHeight="1">
      <c r="A676" t="inlineStr">
        <is>
          <t>A 18450-2023</t>
        </is>
      </c>
      <c r="B676" s="1" t="n">
        <v>45042</v>
      </c>
      <c r="C676" s="1" t="n">
        <v>45564</v>
      </c>
      <c r="D676" t="inlineStr">
        <is>
          <t>ÖREBRO LÄN</t>
        </is>
      </c>
      <c r="E676" t="inlineStr">
        <is>
          <t>ÖREBRO</t>
        </is>
      </c>
      <c r="G676" t="n">
        <v>3.3</v>
      </c>
      <c r="H676" t="n">
        <v>0</v>
      </c>
      <c r="I676" t="n">
        <v>0</v>
      </c>
      <c r="J676" t="n">
        <v>0</v>
      </c>
      <c r="K676" t="n">
        <v>0</v>
      </c>
      <c r="L676" t="n">
        <v>0</v>
      </c>
      <c r="M676" t="n">
        <v>0</v>
      </c>
      <c r="N676" t="n">
        <v>0</v>
      </c>
      <c r="O676" t="n">
        <v>0</v>
      </c>
      <c r="P676" t="n">
        <v>0</v>
      </c>
      <c r="Q676" t="n">
        <v>0</v>
      </c>
      <c r="R676" s="2" t="inlineStr"/>
    </row>
    <row r="677" ht="15" customHeight="1">
      <c r="A677" t="inlineStr">
        <is>
          <t>A 18716-2023</t>
        </is>
      </c>
      <c r="B677" s="1" t="n">
        <v>45043</v>
      </c>
      <c r="C677" s="1" t="n">
        <v>45564</v>
      </c>
      <c r="D677" t="inlineStr">
        <is>
          <t>ÖREBRO LÄN</t>
        </is>
      </c>
      <c r="E677" t="inlineStr">
        <is>
          <t>ÖREBRO</t>
        </is>
      </c>
      <c r="G677" t="n">
        <v>0.7</v>
      </c>
      <c r="H677" t="n">
        <v>0</v>
      </c>
      <c r="I677" t="n">
        <v>0</v>
      </c>
      <c r="J677" t="n">
        <v>0</v>
      </c>
      <c r="K677" t="n">
        <v>0</v>
      </c>
      <c r="L677" t="n">
        <v>0</v>
      </c>
      <c r="M677" t="n">
        <v>0</v>
      </c>
      <c r="N677" t="n">
        <v>0</v>
      </c>
      <c r="O677" t="n">
        <v>0</v>
      </c>
      <c r="P677" t="n">
        <v>0</v>
      </c>
      <c r="Q677" t="n">
        <v>0</v>
      </c>
      <c r="R677" s="2" t="inlineStr"/>
    </row>
    <row r="678" ht="15" customHeight="1">
      <c r="A678" t="inlineStr">
        <is>
          <t>A 18747-2023</t>
        </is>
      </c>
      <c r="B678" s="1" t="n">
        <v>45043</v>
      </c>
      <c r="C678" s="1" t="n">
        <v>45564</v>
      </c>
      <c r="D678" t="inlineStr">
        <is>
          <t>ÖREBRO LÄN</t>
        </is>
      </c>
      <c r="E678" t="inlineStr">
        <is>
          <t>ÖREBRO</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19553-2023</t>
        </is>
      </c>
      <c r="B679" s="1" t="n">
        <v>45050</v>
      </c>
      <c r="C679" s="1" t="n">
        <v>45564</v>
      </c>
      <c r="D679" t="inlineStr">
        <is>
          <t>ÖREBRO LÄN</t>
        </is>
      </c>
      <c r="E679" t="inlineStr">
        <is>
          <t>ÖREBRO</t>
        </is>
      </c>
      <c r="G679" t="n">
        <v>2.1</v>
      </c>
      <c r="H679" t="n">
        <v>0</v>
      </c>
      <c r="I679" t="n">
        <v>0</v>
      </c>
      <c r="J679" t="n">
        <v>0</v>
      </c>
      <c r="K679" t="n">
        <v>0</v>
      </c>
      <c r="L679" t="n">
        <v>0</v>
      </c>
      <c r="M679" t="n">
        <v>0</v>
      </c>
      <c r="N679" t="n">
        <v>0</v>
      </c>
      <c r="O679" t="n">
        <v>0</v>
      </c>
      <c r="P679" t="n">
        <v>0</v>
      </c>
      <c r="Q679" t="n">
        <v>0</v>
      </c>
      <c r="R679" s="2" t="inlineStr"/>
    </row>
    <row r="680" ht="15" customHeight="1">
      <c r="A680" t="inlineStr">
        <is>
          <t>A 20032-2023</t>
        </is>
      </c>
      <c r="B680" s="1" t="n">
        <v>45054</v>
      </c>
      <c r="C680" s="1" t="n">
        <v>45564</v>
      </c>
      <c r="D680" t="inlineStr">
        <is>
          <t>ÖREBRO LÄN</t>
        </is>
      </c>
      <c r="E680" t="inlineStr">
        <is>
          <t>ÖREBRO</t>
        </is>
      </c>
      <c r="G680" t="n">
        <v>2.6</v>
      </c>
      <c r="H680" t="n">
        <v>0</v>
      </c>
      <c r="I680" t="n">
        <v>0</v>
      </c>
      <c r="J680" t="n">
        <v>0</v>
      </c>
      <c r="K680" t="n">
        <v>0</v>
      </c>
      <c r="L680" t="n">
        <v>0</v>
      </c>
      <c r="M680" t="n">
        <v>0</v>
      </c>
      <c r="N680" t="n">
        <v>0</v>
      </c>
      <c r="O680" t="n">
        <v>0</v>
      </c>
      <c r="P680" t="n">
        <v>0</v>
      </c>
      <c r="Q680" t="n">
        <v>0</v>
      </c>
      <c r="R680" s="2" t="inlineStr"/>
    </row>
    <row r="681" ht="15" customHeight="1">
      <c r="A681" t="inlineStr">
        <is>
          <t>A 20245-2023</t>
        </is>
      </c>
      <c r="B681" s="1" t="n">
        <v>45055</v>
      </c>
      <c r="C681" s="1" t="n">
        <v>45564</v>
      </c>
      <c r="D681" t="inlineStr">
        <is>
          <t>ÖREBRO LÄN</t>
        </is>
      </c>
      <c r="E681" t="inlineStr">
        <is>
          <t>ÖREBRO</t>
        </is>
      </c>
      <c r="F681" t="inlineStr">
        <is>
          <t>Övriga Aktiebolag</t>
        </is>
      </c>
      <c r="G681" t="n">
        <v>11.7</v>
      </c>
      <c r="H681" t="n">
        <v>0</v>
      </c>
      <c r="I681" t="n">
        <v>0</v>
      </c>
      <c r="J681" t="n">
        <v>0</v>
      </c>
      <c r="K681" t="n">
        <v>0</v>
      </c>
      <c r="L681" t="n">
        <v>0</v>
      </c>
      <c r="M681" t="n">
        <v>0</v>
      </c>
      <c r="N681" t="n">
        <v>0</v>
      </c>
      <c r="O681" t="n">
        <v>0</v>
      </c>
      <c r="P681" t="n">
        <v>0</v>
      </c>
      <c r="Q681" t="n">
        <v>0</v>
      </c>
      <c r="R681" s="2" t="inlineStr"/>
    </row>
    <row r="682" ht="15" customHeight="1">
      <c r="A682" t="inlineStr">
        <is>
          <t>A 20249-2023</t>
        </is>
      </c>
      <c r="B682" s="1" t="n">
        <v>45055</v>
      </c>
      <c r="C682" s="1" t="n">
        <v>45564</v>
      </c>
      <c r="D682" t="inlineStr">
        <is>
          <t>ÖREBRO LÄN</t>
        </is>
      </c>
      <c r="E682" t="inlineStr">
        <is>
          <t>ÖREBRO</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20289-2023</t>
        </is>
      </c>
      <c r="B683" s="1" t="n">
        <v>45056</v>
      </c>
      <c r="C683" s="1" t="n">
        <v>45564</v>
      </c>
      <c r="D683" t="inlineStr">
        <is>
          <t>ÖREBRO LÄN</t>
        </is>
      </c>
      <c r="E683" t="inlineStr">
        <is>
          <t>ÖREBRO</t>
        </is>
      </c>
      <c r="F683" t="inlineStr">
        <is>
          <t>Allmännings- och besparingsskogar</t>
        </is>
      </c>
      <c r="G683" t="n">
        <v>3</v>
      </c>
      <c r="H683" t="n">
        <v>0</v>
      </c>
      <c r="I683" t="n">
        <v>0</v>
      </c>
      <c r="J683" t="n">
        <v>0</v>
      </c>
      <c r="K683" t="n">
        <v>0</v>
      </c>
      <c r="L683" t="n">
        <v>0</v>
      </c>
      <c r="M683" t="n">
        <v>0</v>
      </c>
      <c r="N683" t="n">
        <v>0</v>
      </c>
      <c r="O683" t="n">
        <v>0</v>
      </c>
      <c r="P683" t="n">
        <v>0</v>
      </c>
      <c r="Q683" t="n">
        <v>0</v>
      </c>
      <c r="R683" s="2" t="inlineStr"/>
    </row>
    <row r="684" ht="15" customHeight="1">
      <c r="A684" t="inlineStr">
        <is>
          <t>A 21602-2023</t>
        </is>
      </c>
      <c r="B684" s="1" t="n">
        <v>45063</v>
      </c>
      <c r="C684" s="1" t="n">
        <v>45564</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22079-2023</t>
        </is>
      </c>
      <c r="B685" s="1" t="n">
        <v>45069</v>
      </c>
      <c r="C685" s="1" t="n">
        <v>45564</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22047-2023</t>
        </is>
      </c>
      <c r="B686" s="1" t="n">
        <v>45069</v>
      </c>
      <c r="C686" s="1" t="n">
        <v>45564</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22298-2023</t>
        </is>
      </c>
      <c r="B687" s="1" t="n">
        <v>45070</v>
      </c>
      <c r="C687" s="1" t="n">
        <v>45564</v>
      </c>
      <c r="D687" t="inlineStr">
        <is>
          <t>ÖREBRO LÄN</t>
        </is>
      </c>
      <c r="E687" t="inlineStr">
        <is>
          <t>ÖREBRO</t>
        </is>
      </c>
      <c r="G687" t="n">
        <v>1</v>
      </c>
      <c r="H687" t="n">
        <v>0</v>
      </c>
      <c r="I687" t="n">
        <v>0</v>
      </c>
      <c r="J687" t="n">
        <v>0</v>
      </c>
      <c r="K687" t="n">
        <v>0</v>
      </c>
      <c r="L687" t="n">
        <v>0</v>
      </c>
      <c r="M687" t="n">
        <v>0</v>
      </c>
      <c r="N687" t="n">
        <v>0</v>
      </c>
      <c r="O687" t="n">
        <v>0</v>
      </c>
      <c r="P687" t="n">
        <v>0</v>
      </c>
      <c r="Q687" t="n">
        <v>0</v>
      </c>
      <c r="R687" s="2" t="inlineStr"/>
    </row>
    <row r="688" ht="15" customHeight="1">
      <c r="A688" t="inlineStr">
        <is>
          <t>A 22451-2023</t>
        </is>
      </c>
      <c r="B688" s="1" t="n">
        <v>45070</v>
      </c>
      <c r="C688" s="1" t="n">
        <v>45564</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22639-2023</t>
        </is>
      </c>
      <c r="B689" s="1" t="n">
        <v>45071</v>
      </c>
      <c r="C689" s="1" t="n">
        <v>45564</v>
      </c>
      <c r="D689" t="inlineStr">
        <is>
          <t>ÖREBRO LÄN</t>
        </is>
      </c>
      <c r="E689" t="inlineStr">
        <is>
          <t>ÖREBRO</t>
        </is>
      </c>
      <c r="G689" t="n">
        <v>3.7</v>
      </c>
      <c r="H689" t="n">
        <v>0</v>
      </c>
      <c r="I689" t="n">
        <v>0</v>
      </c>
      <c r="J689" t="n">
        <v>0</v>
      </c>
      <c r="K689" t="n">
        <v>0</v>
      </c>
      <c r="L689" t="n">
        <v>0</v>
      </c>
      <c r="M689" t="n">
        <v>0</v>
      </c>
      <c r="N689" t="n">
        <v>0</v>
      </c>
      <c r="O689" t="n">
        <v>0</v>
      </c>
      <c r="P689" t="n">
        <v>0</v>
      </c>
      <c r="Q689" t="n">
        <v>0</v>
      </c>
      <c r="R689" s="2" t="inlineStr"/>
    </row>
    <row r="690" ht="15" customHeight="1">
      <c r="A690" t="inlineStr">
        <is>
          <t>A 23179-2023</t>
        </is>
      </c>
      <c r="B690" s="1" t="n">
        <v>45075</v>
      </c>
      <c r="C690" s="1" t="n">
        <v>45564</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23573-2023</t>
        </is>
      </c>
      <c r="B691" s="1" t="n">
        <v>45077</v>
      </c>
      <c r="C691" s="1" t="n">
        <v>45564</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23594-2023</t>
        </is>
      </c>
      <c r="B692" s="1" t="n">
        <v>45077</v>
      </c>
      <c r="C692" s="1" t="n">
        <v>45564</v>
      </c>
      <c r="D692" t="inlineStr">
        <is>
          <t>ÖREBRO LÄN</t>
        </is>
      </c>
      <c r="E692" t="inlineStr">
        <is>
          <t>ÖREBRO</t>
        </is>
      </c>
      <c r="G692" t="n">
        <v>9.9</v>
      </c>
      <c r="H692" t="n">
        <v>0</v>
      </c>
      <c r="I692" t="n">
        <v>0</v>
      </c>
      <c r="J692" t="n">
        <v>0</v>
      </c>
      <c r="K692" t="n">
        <v>0</v>
      </c>
      <c r="L692" t="n">
        <v>0</v>
      </c>
      <c r="M692" t="n">
        <v>0</v>
      </c>
      <c r="N692" t="n">
        <v>0</v>
      </c>
      <c r="O692" t="n">
        <v>0</v>
      </c>
      <c r="P692" t="n">
        <v>0</v>
      </c>
      <c r="Q692" t="n">
        <v>0</v>
      </c>
      <c r="R692" s="2" t="inlineStr"/>
    </row>
    <row r="693" ht="15" customHeight="1">
      <c r="A693" t="inlineStr">
        <is>
          <t>A 23732-2023</t>
        </is>
      </c>
      <c r="B693" s="1" t="n">
        <v>45077</v>
      </c>
      <c r="C693" s="1" t="n">
        <v>45564</v>
      </c>
      <c r="D693" t="inlineStr">
        <is>
          <t>ÖREBRO LÄN</t>
        </is>
      </c>
      <c r="E693" t="inlineStr">
        <is>
          <t>ÖREBRO</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23738-2023</t>
        </is>
      </c>
      <c r="B694" s="1" t="n">
        <v>45077</v>
      </c>
      <c r="C694" s="1" t="n">
        <v>45564</v>
      </c>
      <c r="D694" t="inlineStr">
        <is>
          <t>ÖREBRO LÄN</t>
        </is>
      </c>
      <c r="E694" t="inlineStr">
        <is>
          <t>ÖREBRO</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23863-2023</t>
        </is>
      </c>
      <c r="B695" s="1" t="n">
        <v>45078</v>
      </c>
      <c r="C695" s="1" t="n">
        <v>45564</v>
      </c>
      <c r="D695" t="inlineStr">
        <is>
          <t>ÖREBRO LÄN</t>
        </is>
      </c>
      <c r="E695" t="inlineStr">
        <is>
          <t>ÖREBRO</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24143-2023</t>
        </is>
      </c>
      <c r="B696" s="1" t="n">
        <v>45079</v>
      </c>
      <c r="C696" s="1" t="n">
        <v>45564</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25247-2023</t>
        </is>
      </c>
      <c r="B697" s="1" t="n">
        <v>45086</v>
      </c>
      <c r="C697" s="1" t="n">
        <v>45564</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25487-2023</t>
        </is>
      </c>
      <c r="B698" s="1" t="n">
        <v>45089</v>
      </c>
      <c r="C698" s="1" t="n">
        <v>45564</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26765-2023</t>
        </is>
      </c>
      <c r="B699" s="1" t="n">
        <v>45093</v>
      </c>
      <c r="C699" s="1" t="n">
        <v>45564</v>
      </c>
      <c r="D699" t="inlineStr">
        <is>
          <t>ÖREBRO LÄN</t>
        </is>
      </c>
      <c r="E699" t="inlineStr">
        <is>
          <t>ÖREBRO</t>
        </is>
      </c>
      <c r="G699" t="n">
        <v>1</v>
      </c>
      <c r="H699" t="n">
        <v>0</v>
      </c>
      <c r="I699" t="n">
        <v>0</v>
      </c>
      <c r="J699" t="n">
        <v>0</v>
      </c>
      <c r="K699" t="n">
        <v>0</v>
      </c>
      <c r="L699" t="n">
        <v>0</v>
      </c>
      <c r="M699" t="n">
        <v>0</v>
      </c>
      <c r="N699" t="n">
        <v>0</v>
      </c>
      <c r="O699" t="n">
        <v>0</v>
      </c>
      <c r="P699" t="n">
        <v>0</v>
      </c>
      <c r="Q699" t="n">
        <v>0</v>
      </c>
      <c r="R699" s="2" t="inlineStr"/>
    </row>
    <row r="700" ht="15" customHeight="1">
      <c r="A700" t="inlineStr">
        <is>
          <t>A 27112-2023</t>
        </is>
      </c>
      <c r="B700" s="1" t="n">
        <v>45096</v>
      </c>
      <c r="C700" s="1" t="n">
        <v>45564</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27956-2023</t>
        </is>
      </c>
      <c r="B701" s="1" t="n">
        <v>45098</v>
      </c>
      <c r="C701" s="1" t="n">
        <v>45564</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28632-2023</t>
        </is>
      </c>
      <c r="B702" s="1" t="n">
        <v>45103</v>
      </c>
      <c r="C702" s="1" t="n">
        <v>45564</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29012-2023</t>
        </is>
      </c>
      <c r="B703" s="1" t="n">
        <v>45104</v>
      </c>
      <c r="C703" s="1" t="n">
        <v>45564</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30015-2023</t>
        </is>
      </c>
      <c r="B704" s="1" t="n">
        <v>45109</v>
      </c>
      <c r="C704" s="1" t="n">
        <v>45564</v>
      </c>
      <c r="D704" t="inlineStr">
        <is>
          <t>ÖREBRO LÄN</t>
        </is>
      </c>
      <c r="E704" t="inlineStr">
        <is>
          <t>ÖREBRO</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30362-2023</t>
        </is>
      </c>
      <c r="B705" s="1" t="n">
        <v>45111</v>
      </c>
      <c r="C705" s="1" t="n">
        <v>45564</v>
      </c>
      <c r="D705" t="inlineStr">
        <is>
          <t>ÖREBRO LÄN</t>
        </is>
      </c>
      <c r="E705" t="inlineStr">
        <is>
          <t>ÖREBRO</t>
        </is>
      </c>
      <c r="F705" t="inlineStr">
        <is>
          <t>Övriga Aktiebolag</t>
        </is>
      </c>
      <c r="G705" t="n">
        <v>6.8</v>
      </c>
      <c r="H705" t="n">
        <v>0</v>
      </c>
      <c r="I705" t="n">
        <v>0</v>
      </c>
      <c r="J705" t="n">
        <v>0</v>
      </c>
      <c r="K705" t="n">
        <v>0</v>
      </c>
      <c r="L705" t="n">
        <v>0</v>
      </c>
      <c r="M705" t="n">
        <v>0</v>
      </c>
      <c r="N705" t="n">
        <v>0</v>
      </c>
      <c r="O705" t="n">
        <v>0</v>
      </c>
      <c r="P705" t="n">
        <v>0</v>
      </c>
      <c r="Q705" t="n">
        <v>0</v>
      </c>
      <c r="R705" s="2" t="inlineStr"/>
    </row>
    <row r="706" ht="15" customHeight="1">
      <c r="A706" t="inlineStr">
        <is>
          <t>A 30403-2023</t>
        </is>
      </c>
      <c r="B706" s="1" t="n">
        <v>45111</v>
      </c>
      <c r="C706" s="1" t="n">
        <v>45564</v>
      </c>
      <c r="D706" t="inlineStr">
        <is>
          <t>ÖREBRO LÄN</t>
        </is>
      </c>
      <c r="E706" t="inlineStr">
        <is>
          <t>ÖREBRO</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30374-2023</t>
        </is>
      </c>
      <c r="B707" s="1" t="n">
        <v>45111</v>
      </c>
      <c r="C707" s="1" t="n">
        <v>45564</v>
      </c>
      <c r="D707" t="inlineStr">
        <is>
          <t>ÖREBRO LÄN</t>
        </is>
      </c>
      <c r="E707" t="inlineStr">
        <is>
          <t>ÖREBRO</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30708-2023</t>
        </is>
      </c>
      <c r="B708" s="1" t="n">
        <v>45112</v>
      </c>
      <c r="C708" s="1" t="n">
        <v>45564</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30725-2023</t>
        </is>
      </c>
      <c r="B709" s="1" t="n">
        <v>45112</v>
      </c>
      <c r="C709" s="1" t="n">
        <v>45564</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30665-2023</t>
        </is>
      </c>
      <c r="B710" s="1" t="n">
        <v>45112</v>
      </c>
      <c r="C710" s="1" t="n">
        <v>45564</v>
      </c>
      <c r="D710" t="inlineStr">
        <is>
          <t>ÖREBRO LÄN</t>
        </is>
      </c>
      <c r="E710" t="inlineStr">
        <is>
          <t>ÖREBRO</t>
        </is>
      </c>
      <c r="G710" t="n">
        <v>5</v>
      </c>
      <c r="H710" t="n">
        <v>0</v>
      </c>
      <c r="I710" t="n">
        <v>0</v>
      </c>
      <c r="J710" t="n">
        <v>0</v>
      </c>
      <c r="K710" t="n">
        <v>0</v>
      </c>
      <c r="L710" t="n">
        <v>0</v>
      </c>
      <c r="M710" t="n">
        <v>0</v>
      </c>
      <c r="N710" t="n">
        <v>0</v>
      </c>
      <c r="O710" t="n">
        <v>0</v>
      </c>
      <c r="P710" t="n">
        <v>0</v>
      </c>
      <c r="Q710" t="n">
        <v>0</v>
      </c>
      <c r="R710" s="2" t="inlineStr"/>
    </row>
    <row r="711" ht="15" customHeight="1">
      <c r="A711" t="inlineStr">
        <is>
          <t>A 31247-2023</t>
        </is>
      </c>
      <c r="B711" s="1" t="n">
        <v>45114</v>
      </c>
      <c r="C711" s="1" t="n">
        <v>45564</v>
      </c>
      <c r="D711" t="inlineStr">
        <is>
          <t>ÖREBRO LÄN</t>
        </is>
      </c>
      <c r="E711" t="inlineStr">
        <is>
          <t>ÖREBRO</t>
        </is>
      </c>
      <c r="F711" t="inlineStr">
        <is>
          <t>Allmännings- och besparingsskogar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31267-2023</t>
        </is>
      </c>
      <c r="B712" s="1" t="n">
        <v>45114</v>
      </c>
      <c r="C712" s="1" t="n">
        <v>45564</v>
      </c>
      <c r="D712" t="inlineStr">
        <is>
          <t>ÖREBRO LÄN</t>
        </is>
      </c>
      <c r="E712" t="inlineStr">
        <is>
          <t>ÖREBRO</t>
        </is>
      </c>
      <c r="F712" t="inlineStr">
        <is>
          <t>Allmännings- och besparingsskogar</t>
        </is>
      </c>
      <c r="G712" t="n">
        <v>2.8</v>
      </c>
      <c r="H712" t="n">
        <v>0</v>
      </c>
      <c r="I712" t="n">
        <v>0</v>
      </c>
      <c r="J712" t="n">
        <v>0</v>
      </c>
      <c r="K712" t="n">
        <v>0</v>
      </c>
      <c r="L712" t="n">
        <v>0</v>
      </c>
      <c r="M712" t="n">
        <v>0</v>
      </c>
      <c r="N712" t="n">
        <v>0</v>
      </c>
      <c r="O712" t="n">
        <v>0</v>
      </c>
      <c r="P712" t="n">
        <v>0</v>
      </c>
      <c r="Q712" t="n">
        <v>0</v>
      </c>
      <c r="R712" s="2" t="inlineStr"/>
    </row>
    <row r="713" ht="15" customHeight="1">
      <c r="A713" t="inlineStr">
        <is>
          <t>A 31258-2023</t>
        </is>
      </c>
      <c r="B713" s="1" t="n">
        <v>45114</v>
      </c>
      <c r="C713" s="1" t="n">
        <v>45564</v>
      </c>
      <c r="D713" t="inlineStr">
        <is>
          <t>ÖREBRO LÄN</t>
        </is>
      </c>
      <c r="E713" t="inlineStr">
        <is>
          <t>ÖREBRO</t>
        </is>
      </c>
      <c r="F713" t="inlineStr">
        <is>
          <t>Allmännings- och besparingsskogar</t>
        </is>
      </c>
      <c r="G713" t="n">
        <v>4.7</v>
      </c>
      <c r="H713" t="n">
        <v>0</v>
      </c>
      <c r="I713" t="n">
        <v>0</v>
      </c>
      <c r="J713" t="n">
        <v>0</v>
      </c>
      <c r="K713" t="n">
        <v>0</v>
      </c>
      <c r="L713" t="n">
        <v>0</v>
      </c>
      <c r="M713" t="n">
        <v>0</v>
      </c>
      <c r="N713" t="n">
        <v>0</v>
      </c>
      <c r="O713" t="n">
        <v>0</v>
      </c>
      <c r="P713" t="n">
        <v>0</v>
      </c>
      <c r="Q713" t="n">
        <v>0</v>
      </c>
      <c r="R713" s="2" t="inlineStr"/>
    </row>
    <row r="714" ht="15" customHeight="1">
      <c r="A714" t="inlineStr">
        <is>
          <t>A 31270-2023</t>
        </is>
      </c>
      <c r="B714" s="1" t="n">
        <v>45114</v>
      </c>
      <c r="C714" s="1" t="n">
        <v>45564</v>
      </c>
      <c r="D714" t="inlineStr">
        <is>
          <t>ÖREBRO LÄN</t>
        </is>
      </c>
      <c r="E714" t="inlineStr">
        <is>
          <t>ÖREBRO</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31240-2023</t>
        </is>
      </c>
      <c r="B715" s="1" t="n">
        <v>45114</v>
      </c>
      <c r="C715" s="1" t="n">
        <v>45564</v>
      </c>
      <c r="D715" t="inlineStr">
        <is>
          <t>ÖREBRO LÄN</t>
        </is>
      </c>
      <c r="E715" t="inlineStr">
        <is>
          <t>ÖREBRO</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31447-2023</t>
        </is>
      </c>
      <c r="B716" s="1" t="n">
        <v>45114</v>
      </c>
      <c r="C716" s="1" t="n">
        <v>45564</v>
      </c>
      <c r="D716" t="inlineStr">
        <is>
          <t>ÖREBRO LÄN</t>
        </is>
      </c>
      <c r="E716" t="inlineStr">
        <is>
          <t>ÖREBRO</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31905-2023</t>
        </is>
      </c>
      <c r="B717" s="1" t="n">
        <v>45118</v>
      </c>
      <c r="C717" s="1" t="n">
        <v>45564</v>
      </c>
      <c r="D717" t="inlineStr">
        <is>
          <t>ÖREBRO LÄN</t>
        </is>
      </c>
      <c r="E717" t="inlineStr">
        <is>
          <t>ÖREBRO</t>
        </is>
      </c>
      <c r="G717" t="n">
        <v>2.1</v>
      </c>
      <c r="H717" t="n">
        <v>0</v>
      </c>
      <c r="I717" t="n">
        <v>0</v>
      </c>
      <c r="J717" t="n">
        <v>0</v>
      </c>
      <c r="K717" t="n">
        <v>0</v>
      </c>
      <c r="L717" t="n">
        <v>0</v>
      </c>
      <c r="M717" t="n">
        <v>0</v>
      </c>
      <c r="N717" t="n">
        <v>0</v>
      </c>
      <c r="O717" t="n">
        <v>0</v>
      </c>
      <c r="P717" t="n">
        <v>0</v>
      </c>
      <c r="Q717" t="n">
        <v>0</v>
      </c>
      <c r="R717" s="2" t="inlineStr"/>
    </row>
    <row r="718" ht="15" customHeight="1">
      <c r="A718" t="inlineStr">
        <is>
          <t>A 31906-2023</t>
        </is>
      </c>
      <c r="B718" s="1" t="n">
        <v>45118</v>
      </c>
      <c r="C718" s="1" t="n">
        <v>45564</v>
      </c>
      <c r="D718" t="inlineStr">
        <is>
          <t>ÖREBRO LÄN</t>
        </is>
      </c>
      <c r="E718" t="inlineStr">
        <is>
          <t>ÖREBRO</t>
        </is>
      </c>
      <c r="G718" t="n">
        <v>9</v>
      </c>
      <c r="H718" t="n">
        <v>0</v>
      </c>
      <c r="I718" t="n">
        <v>0</v>
      </c>
      <c r="J718" t="n">
        <v>0</v>
      </c>
      <c r="K718" t="n">
        <v>0</v>
      </c>
      <c r="L718" t="n">
        <v>0</v>
      </c>
      <c r="M718" t="n">
        <v>0</v>
      </c>
      <c r="N718" t="n">
        <v>0</v>
      </c>
      <c r="O718" t="n">
        <v>0</v>
      </c>
      <c r="P718" t="n">
        <v>0</v>
      </c>
      <c r="Q718" t="n">
        <v>0</v>
      </c>
      <c r="R718" s="2" t="inlineStr"/>
    </row>
    <row r="719" ht="15" customHeight="1">
      <c r="A719" t="inlineStr">
        <is>
          <t>A 31904-2023</t>
        </is>
      </c>
      <c r="B719" s="1" t="n">
        <v>45118</v>
      </c>
      <c r="C719" s="1" t="n">
        <v>45564</v>
      </c>
      <c r="D719" t="inlineStr">
        <is>
          <t>ÖREBRO LÄN</t>
        </is>
      </c>
      <c r="E719" t="inlineStr">
        <is>
          <t>ÖREBRO</t>
        </is>
      </c>
      <c r="G719" t="n">
        <v>2.3</v>
      </c>
      <c r="H719" t="n">
        <v>0</v>
      </c>
      <c r="I719" t="n">
        <v>0</v>
      </c>
      <c r="J719" t="n">
        <v>0</v>
      </c>
      <c r="K719" t="n">
        <v>0</v>
      </c>
      <c r="L719" t="n">
        <v>0</v>
      </c>
      <c r="M719" t="n">
        <v>0</v>
      </c>
      <c r="N719" t="n">
        <v>0</v>
      </c>
      <c r="O719" t="n">
        <v>0</v>
      </c>
      <c r="P719" t="n">
        <v>0</v>
      </c>
      <c r="Q719" t="n">
        <v>0</v>
      </c>
      <c r="R719" s="2" t="inlineStr"/>
    </row>
    <row r="720" ht="15" customHeight="1">
      <c r="A720" t="inlineStr">
        <is>
          <t>A 32113-2023</t>
        </is>
      </c>
      <c r="B720" s="1" t="n">
        <v>45119</v>
      </c>
      <c r="C720" s="1" t="n">
        <v>45564</v>
      </c>
      <c r="D720" t="inlineStr">
        <is>
          <t>ÖREBRO LÄN</t>
        </is>
      </c>
      <c r="E720" t="inlineStr">
        <is>
          <t>ÖREBRO</t>
        </is>
      </c>
      <c r="G720" t="n">
        <v>2.2</v>
      </c>
      <c r="H720" t="n">
        <v>0</v>
      </c>
      <c r="I720" t="n">
        <v>0</v>
      </c>
      <c r="J720" t="n">
        <v>0</v>
      </c>
      <c r="K720" t="n">
        <v>0</v>
      </c>
      <c r="L720" t="n">
        <v>0</v>
      </c>
      <c r="M720" t="n">
        <v>0</v>
      </c>
      <c r="N720" t="n">
        <v>0</v>
      </c>
      <c r="O720" t="n">
        <v>0</v>
      </c>
      <c r="P720" t="n">
        <v>0</v>
      </c>
      <c r="Q720" t="n">
        <v>0</v>
      </c>
      <c r="R720" s="2" t="inlineStr"/>
    </row>
    <row r="721" ht="15" customHeight="1">
      <c r="A721" t="inlineStr">
        <is>
          <t>A 32152-2023</t>
        </is>
      </c>
      <c r="B721" s="1" t="n">
        <v>45119</v>
      </c>
      <c r="C721" s="1" t="n">
        <v>45564</v>
      </c>
      <c r="D721" t="inlineStr">
        <is>
          <t>ÖREBRO LÄN</t>
        </is>
      </c>
      <c r="E721" t="inlineStr">
        <is>
          <t>ÖREBRO</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32157-2023</t>
        </is>
      </c>
      <c r="B722" s="1" t="n">
        <v>45119</v>
      </c>
      <c r="C722" s="1" t="n">
        <v>45564</v>
      </c>
      <c r="D722" t="inlineStr">
        <is>
          <t>ÖREBRO LÄN</t>
        </is>
      </c>
      <c r="E722" t="inlineStr">
        <is>
          <t>ÖREBRO</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32176-2023</t>
        </is>
      </c>
      <c r="B723" s="1" t="n">
        <v>45119</v>
      </c>
      <c r="C723" s="1" t="n">
        <v>45564</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32076-2023</t>
        </is>
      </c>
      <c r="B724" s="1" t="n">
        <v>45119</v>
      </c>
      <c r="C724" s="1" t="n">
        <v>45564</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32086-2023</t>
        </is>
      </c>
      <c r="B725" s="1" t="n">
        <v>45119</v>
      </c>
      <c r="C725" s="1" t="n">
        <v>45564</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32125-2023</t>
        </is>
      </c>
      <c r="B726" s="1" t="n">
        <v>45119</v>
      </c>
      <c r="C726" s="1" t="n">
        <v>45564</v>
      </c>
      <c r="D726" t="inlineStr">
        <is>
          <t>ÖREBRO LÄN</t>
        </is>
      </c>
      <c r="E726" t="inlineStr">
        <is>
          <t>ÖREBRO</t>
        </is>
      </c>
      <c r="G726" t="n">
        <v>10.6</v>
      </c>
      <c r="H726" t="n">
        <v>0</v>
      </c>
      <c r="I726" t="n">
        <v>0</v>
      </c>
      <c r="J726" t="n">
        <v>0</v>
      </c>
      <c r="K726" t="n">
        <v>0</v>
      </c>
      <c r="L726" t="n">
        <v>0</v>
      </c>
      <c r="M726" t="n">
        <v>0</v>
      </c>
      <c r="N726" t="n">
        <v>0</v>
      </c>
      <c r="O726" t="n">
        <v>0</v>
      </c>
      <c r="P726" t="n">
        <v>0</v>
      </c>
      <c r="Q726" t="n">
        <v>0</v>
      </c>
      <c r="R726" s="2" t="inlineStr"/>
    </row>
    <row r="727" ht="15" customHeight="1">
      <c r="A727" t="inlineStr">
        <is>
          <t>A 32067-2023</t>
        </is>
      </c>
      <c r="B727" s="1" t="n">
        <v>45119</v>
      </c>
      <c r="C727" s="1" t="n">
        <v>45564</v>
      </c>
      <c r="D727" t="inlineStr">
        <is>
          <t>ÖREBRO LÄN</t>
        </is>
      </c>
      <c r="E727" t="inlineStr">
        <is>
          <t>ÖREBRO</t>
        </is>
      </c>
      <c r="G727" t="n">
        <v>2.9</v>
      </c>
      <c r="H727" t="n">
        <v>0</v>
      </c>
      <c r="I727" t="n">
        <v>0</v>
      </c>
      <c r="J727" t="n">
        <v>0</v>
      </c>
      <c r="K727" t="n">
        <v>0</v>
      </c>
      <c r="L727" t="n">
        <v>0</v>
      </c>
      <c r="M727" t="n">
        <v>0</v>
      </c>
      <c r="N727" t="n">
        <v>0</v>
      </c>
      <c r="O727" t="n">
        <v>0</v>
      </c>
      <c r="P727" t="n">
        <v>0</v>
      </c>
      <c r="Q727" t="n">
        <v>0</v>
      </c>
      <c r="R727" s="2" t="inlineStr"/>
    </row>
    <row r="728" ht="15" customHeight="1">
      <c r="A728" t="inlineStr">
        <is>
          <t>A 32321-2023</t>
        </is>
      </c>
      <c r="B728" s="1" t="n">
        <v>45120</v>
      </c>
      <c r="C728" s="1" t="n">
        <v>45564</v>
      </c>
      <c r="D728" t="inlineStr">
        <is>
          <t>ÖREBRO LÄN</t>
        </is>
      </c>
      <c r="E728" t="inlineStr">
        <is>
          <t>ÖREBRO</t>
        </is>
      </c>
      <c r="G728" t="n">
        <v>3.4</v>
      </c>
      <c r="H728" t="n">
        <v>0</v>
      </c>
      <c r="I728" t="n">
        <v>0</v>
      </c>
      <c r="J728" t="n">
        <v>0</v>
      </c>
      <c r="K728" t="n">
        <v>0</v>
      </c>
      <c r="L728" t="n">
        <v>0</v>
      </c>
      <c r="M728" t="n">
        <v>0</v>
      </c>
      <c r="N728" t="n">
        <v>0</v>
      </c>
      <c r="O728" t="n">
        <v>0</v>
      </c>
      <c r="P728" t="n">
        <v>0</v>
      </c>
      <c r="Q728" t="n">
        <v>0</v>
      </c>
      <c r="R728" s="2" t="inlineStr"/>
    </row>
    <row r="729" ht="15" customHeight="1">
      <c r="A729" t="inlineStr">
        <is>
          <t>A 33005-2023</t>
        </is>
      </c>
      <c r="B729" s="1" t="n">
        <v>45125</v>
      </c>
      <c r="C729" s="1" t="n">
        <v>45564</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33292-2023</t>
        </is>
      </c>
      <c r="B730" s="1" t="n">
        <v>45127</v>
      </c>
      <c r="C730" s="1" t="n">
        <v>45564</v>
      </c>
      <c r="D730" t="inlineStr">
        <is>
          <t>ÖREBRO LÄN</t>
        </is>
      </c>
      <c r="E730" t="inlineStr">
        <is>
          <t>ÖREBRO</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33294-2023</t>
        </is>
      </c>
      <c r="B731" s="1" t="n">
        <v>45127</v>
      </c>
      <c r="C731" s="1" t="n">
        <v>45564</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33282-2023</t>
        </is>
      </c>
      <c r="B732" s="1" t="n">
        <v>45127</v>
      </c>
      <c r="C732" s="1" t="n">
        <v>45564</v>
      </c>
      <c r="D732" t="inlineStr">
        <is>
          <t>ÖREBRO LÄN</t>
        </is>
      </c>
      <c r="E732" t="inlineStr">
        <is>
          <t>ÖREBRO</t>
        </is>
      </c>
      <c r="F732" t="inlineStr">
        <is>
          <t>Övriga Aktiebolag</t>
        </is>
      </c>
      <c r="G732" t="n">
        <v>4.7</v>
      </c>
      <c r="H732" t="n">
        <v>0</v>
      </c>
      <c r="I732" t="n">
        <v>0</v>
      </c>
      <c r="J732" t="n">
        <v>0</v>
      </c>
      <c r="K732" t="n">
        <v>0</v>
      </c>
      <c r="L732" t="n">
        <v>0</v>
      </c>
      <c r="M732" t="n">
        <v>0</v>
      </c>
      <c r="N732" t="n">
        <v>0</v>
      </c>
      <c r="O732" t="n">
        <v>0</v>
      </c>
      <c r="P732" t="n">
        <v>0</v>
      </c>
      <c r="Q732" t="n">
        <v>0</v>
      </c>
      <c r="R732" s="2" t="inlineStr"/>
    </row>
    <row r="733" ht="15" customHeight="1">
      <c r="A733" t="inlineStr">
        <is>
          <t>A 33456-2023</t>
        </is>
      </c>
      <c r="B733" s="1" t="n">
        <v>45131</v>
      </c>
      <c r="C733" s="1" t="n">
        <v>45564</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33455-2023</t>
        </is>
      </c>
      <c r="B734" s="1" t="n">
        <v>45131</v>
      </c>
      <c r="C734" s="1" t="n">
        <v>45564</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33457-2023</t>
        </is>
      </c>
      <c r="B735" s="1" t="n">
        <v>45131</v>
      </c>
      <c r="C735" s="1" t="n">
        <v>45564</v>
      </c>
      <c r="D735" t="inlineStr">
        <is>
          <t>ÖREBRO LÄN</t>
        </is>
      </c>
      <c r="E735" t="inlineStr">
        <is>
          <t>ÖREBRO</t>
        </is>
      </c>
      <c r="G735" t="n">
        <v>0.5</v>
      </c>
      <c r="H735" t="n">
        <v>0</v>
      </c>
      <c r="I735" t="n">
        <v>0</v>
      </c>
      <c r="J735" t="n">
        <v>0</v>
      </c>
      <c r="K735" t="n">
        <v>0</v>
      </c>
      <c r="L735" t="n">
        <v>0</v>
      </c>
      <c r="M735" t="n">
        <v>0</v>
      </c>
      <c r="N735" t="n">
        <v>0</v>
      </c>
      <c r="O735" t="n">
        <v>0</v>
      </c>
      <c r="P735" t="n">
        <v>0</v>
      </c>
      <c r="Q735" t="n">
        <v>0</v>
      </c>
      <c r="R735" s="2" t="inlineStr"/>
    </row>
    <row r="736" ht="15" customHeight="1">
      <c r="A736" t="inlineStr">
        <is>
          <t>A 33522-2023</t>
        </is>
      </c>
      <c r="B736" s="1" t="n">
        <v>45131</v>
      </c>
      <c r="C736" s="1" t="n">
        <v>45564</v>
      </c>
      <c r="D736" t="inlineStr">
        <is>
          <t>ÖREBRO LÄN</t>
        </is>
      </c>
      <c r="E736" t="inlineStr">
        <is>
          <t>ÖREBRO</t>
        </is>
      </c>
      <c r="F736" t="inlineStr">
        <is>
          <t>Övriga Aktiebolag</t>
        </is>
      </c>
      <c r="G736" t="n">
        <v>14.9</v>
      </c>
      <c r="H736" t="n">
        <v>0</v>
      </c>
      <c r="I736" t="n">
        <v>0</v>
      </c>
      <c r="J736" t="n">
        <v>0</v>
      </c>
      <c r="K736" t="n">
        <v>0</v>
      </c>
      <c r="L736" t="n">
        <v>0</v>
      </c>
      <c r="M736" t="n">
        <v>0</v>
      </c>
      <c r="N736" t="n">
        <v>0</v>
      </c>
      <c r="O736" t="n">
        <v>0</v>
      </c>
      <c r="P736" t="n">
        <v>0</v>
      </c>
      <c r="Q736" t="n">
        <v>0</v>
      </c>
      <c r="R736" s="2" t="inlineStr"/>
    </row>
    <row r="737" ht="15" customHeight="1">
      <c r="A737" t="inlineStr">
        <is>
          <t>A 33577-2023</t>
        </is>
      </c>
      <c r="B737" s="1" t="n">
        <v>45131</v>
      </c>
      <c r="C737" s="1" t="n">
        <v>45564</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33634-2023</t>
        </is>
      </c>
      <c r="B738" s="1" t="n">
        <v>45132</v>
      </c>
      <c r="C738" s="1" t="n">
        <v>45564</v>
      </c>
      <c r="D738" t="inlineStr">
        <is>
          <t>ÖREBRO LÄN</t>
        </is>
      </c>
      <c r="E738" t="inlineStr">
        <is>
          <t>ÖREBRO</t>
        </is>
      </c>
      <c r="G738" t="n">
        <v>1.2</v>
      </c>
      <c r="H738" t="n">
        <v>0</v>
      </c>
      <c r="I738" t="n">
        <v>0</v>
      </c>
      <c r="J738" t="n">
        <v>0</v>
      </c>
      <c r="K738" t="n">
        <v>0</v>
      </c>
      <c r="L738" t="n">
        <v>0</v>
      </c>
      <c r="M738" t="n">
        <v>0</v>
      </c>
      <c r="N738" t="n">
        <v>0</v>
      </c>
      <c r="O738" t="n">
        <v>0</v>
      </c>
      <c r="P738" t="n">
        <v>0</v>
      </c>
      <c r="Q738" t="n">
        <v>0</v>
      </c>
      <c r="R738" s="2" t="inlineStr"/>
    </row>
    <row r="739" ht="15" customHeight="1">
      <c r="A739" t="inlineStr">
        <is>
          <t>A 33628-2023</t>
        </is>
      </c>
      <c r="B739" s="1" t="n">
        <v>45132</v>
      </c>
      <c r="C739" s="1" t="n">
        <v>45564</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33632-2023</t>
        </is>
      </c>
      <c r="B740" s="1" t="n">
        <v>45132</v>
      </c>
      <c r="C740" s="1" t="n">
        <v>45564</v>
      </c>
      <c r="D740" t="inlineStr">
        <is>
          <t>ÖREBRO LÄN</t>
        </is>
      </c>
      <c r="E740" t="inlineStr">
        <is>
          <t>ÖREBRO</t>
        </is>
      </c>
      <c r="G740" t="n">
        <v>4.4</v>
      </c>
      <c r="H740" t="n">
        <v>0</v>
      </c>
      <c r="I740" t="n">
        <v>0</v>
      </c>
      <c r="J740" t="n">
        <v>0</v>
      </c>
      <c r="K740" t="n">
        <v>0</v>
      </c>
      <c r="L740" t="n">
        <v>0</v>
      </c>
      <c r="M740" t="n">
        <v>0</v>
      </c>
      <c r="N740" t="n">
        <v>0</v>
      </c>
      <c r="O740" t="n">
        <v>0</v>
      </c>
      <c r="P740" t="n">
        <v>0</v>
      </c>
      <c r="Q740" t="n">
        <v>0</v>
      </c>
      <c r="R740" s="2" t="inlineStr"/>
    </row>
    <row r="741" ht="15" customHeight="1">
      <c r="A741" t="inlineStr">
        <is>
          <t>A 33980-2023</t>
        </is>
      </c>
      <c r="B741" s="1" t="n">
        <v>45134</v>
      </c>
      <c r="C741" s="1" t="n">
        <v>45564</v>
      </c>
      <c r="D741" t="inlineStr">
        <is>
          <t>ÖREBRO LÄN</t>
        </is>
      </c>
      <c r="E741" t="inlineStr">
        <is>
          <t>ÖREBRO</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33984-2023</t>
        </is>
      </c>
      <c r="B742" s="1" t="n">
        <v>45134</v>
      </c>
      <c r="C742" s="1" t="n">
        <v>45564</v>
      </c>
      <c r="D742" t="inlineStr">
        <is>
          <t>ÖREBRO LÄN</t>
        </is>
      </c>
      <c r="E742" t="inlineStr">
        <is>
          <t>ÖREBRO</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34056-2023</t>
        </is>
      </c>
      <c r="B743" s="1" t="n">
        <v>45135</v>
      </c>
      <c r="C743" s="1" t="n">
        <v>45564</v>
      </c>
      <c r="D743" t="inlineStr">
        <is>
          <t>ÖREBRO LÄN</t>
        </is>
      </c>
      <c r="E743" t="inlineStr">
        <is>
          <t>ÖREBRO</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34076-2023</t>
        </is>
      </c>
      <c r="B744" s="1" t="n">
        <v>45135</v>
      </c>
      <c r="C744" s="1" t="n">
        <v>45564</v>
      </c>
      <c r="D744" t="inlineStr">
        <is>
          <t>ÖREBRO LÄN</t>
        </is>
      </c>
      <c r="E744" t="inlineStr">
        <is>
          <t>ÖREBRO</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34037-2023</t>
        </is>
      </c>
      <c r="B745" s="1" t="n">
        <v>45135</v>
      </c>
      <c r="C745" s="1" t="n">
        <v>45564</v>
      </c>
      <c r="D745" t="inlineStr">
        <is>
          <t>ÖREBRO LÄN</t>
        </is>
      </c>
      <c r="E745" t="inlineStr">
        <is>
          <t>ÖREBRO</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34251-2023</t>
        </is>
      </c>
      <c r="B746" s="1" t="n">
        <v>45138</v>
      </c>
      <c r="C746" s="1" t="n">
        <v>45564</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34769-2023</t>
        </is>
      </c>
      <c r="B747" s="1" t="n">
        <v>45141</v>
      </c>
      <c r="C747" s="1" t="n">
        <v>45564</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35187-2023</t>
        </is>
      </c>
      <c r="B748" s="1" t="n">
        <v>45145</v>
      </c>
      <c r="C748" s="1" t="n">
        <v>45564</v>
      </c>
      <c r="D748" t="inlineStr">
        <is>
          <t>ÖREBRO LÄN</t>
        </is>
      </c>
      <c r="E748" t="inlineStr">
        <is>
          <t>ÖREBRO</t>
        </is>
      </c>
      <c r="G748" t="n">
        <v>1.3</v>
      </c>
      <c r="H748" t="n">
        <v>0</v>
      </c>
      <c r="I748" t="n">
        <v>0</v>
      </c>
      <c r="J748" t="n">
        <v>0</v>
      </c>
      <c r="K748" t="n">
        <v>0</v>
      </c>
      <c r="L748" t="n">
        <v>0</v>
      </c>
      <c r="M748" t="n">
        <v>0</v>
      </c>
      <c r="N748" t="n">
        <v>0</v>
      </c>
      <c r="O748" t="n">
        <v>0</v>
      </c>
      <c r="P748" t="n">
        <v>0</v>
      </c>
      <c r="Q748" t="n">
        <v>0</v>
      </c>
      <c r="R748" s="2" t="inlineStr"/>
    </row>
    <row r="749" ht="15" customHeight="1">
      <c r="A749" t="inlineStr">
        <is>
          <t>A 35707-2023</t>
        </is>
      </c>
      <c r="B749" s="1" t="n">
        <v>45147</v>
      </c>
      <c r="C749" s="1" t="n">
        <v>45564</v>
      </c>
      <c r="D749" t="inlineStr">
        <is>
          <t>ÖREBRO LÄN</t>
        </is>
      </c>
      <c r="E749" t="inlineStr">
        <is>
          <t>ÖREBRO</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35717-2023</t>
        </is>
      </c>
      <c r="B750" s="1" t="n">
        <v>45147</v>
      </c>
      <c r="C750" s="1" t="n">
        <v>45564</v>
      </c>
      <c r="D750" t="inlineStr">
        <is>
          <t>ÖREBRO LÄN</t>
        </is>
      </c>
      <c r="E750" t="inlineStr">
        <is>
          <t>ÖREBRO</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36080-2023</t>
        </is>
      </c>
      <c r="B751" s="1" t="n">
        <v>45149</v>
      </c>
      <c r="C751" s="1" t="n">
        <v>45564</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36445-2023</t>
        </is>
      </c>
      <c r="B752" s="1" t="n">
        <v>45152</v>
      </c>
      <c r="C752" s="1" t="n">
        <v>45564</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36635-2023</t>
        </is>
      </c>
      <c r="B753" s="1" t="n">
        <v>45153</v>
      </c>
      <c r="C753" s="1" t="n">
        <v>45564</v>
      </c>
      <c r="D753" t="inlineStr">
        <is>
          <t>ÖREBRO LÄN</t>
        </is>
      </c>
      <c r="E753" t="inlineStr">
        <is>
          <t>ÖREBRO</t>
        </is>
      </c>
      <c r="G753" t="n">
        <v>1.9</v>
      </c>
      <c r="H753" t="n">
        <v>0</v>
      </c>
      <c r="I753" t="n">
        <v>0</v>
      </c>
      <c r="J753" t="n">
        <v>0</v>
      </c>
      <c r="K753" t="n">
        <v>0</v>
      </c>
      <c r="L753" t="n">
        <v>0</v>
      </c>
      <c r="M753" t="n">
        <v>0</v>
      </c>
      <c r="N753" t="n">
        <v>0</v>
      </c>
      <c r="O753" t="n">
        <v>0</v>
      </c>
      <c r="P753" t="n">
        <v>0</v>
      </c>
      <c r="Q753" t="n">
        <v>0</v>
      </c>
      <c r="R753" s="2" t="inlineStr"/>
    </row>
    <row r="754" ht="15" customHeight="1">
      <c r="A754" t="inlineStr">
        <is>
          <t>A 38223-2023</t>
        </is>
      </c>
      <c r="B754" s="1" t="n">
        <v>45161</v>
      </c>
      <c r="C754" s="1" t="n">
        <v>45564</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38415-2023</t>
        </is>
      </c>
      <c r="B755" s="1" t="n">
        <v>45162</v>
      </c>
      <c r="C755" s="1" t="n">
        <v>45564</v>
      </c>
      <c r="D755" t="inlineStr">
        <is>
          <t>ÖREBRO LÄN</t>
        </is>
      </c>
      <c r="E755" t="inlineStr">
        <is>
          <t>ÖREBRO</t>
        </is>
      </c>
      <c r="G755" t="n">
        <v>2.6</v>
      </c>
      <c r="H755" t="n">
        <v>0</v>
      </c>
      <c r="I755" t="n">
        <v>0</v>
      </c>
      <c r="J755" t="n">
        <v>0</v>
      </c>
      <c r="K755" t="n">
        <v>0</v>
      </c>
      <c r="L755" t="n">
        <v>0</v>
      </c>
      <c r="M755" t="n">
        <v>0</v>
      </c>
      <c r="N755" t="n">
        <v>0</v>
      </c>
      <c r="O755" t="n">
        <v>0</v>
      </c>
      <c r="P755" t="n">
        <v>0</v>
      </c>
      <c r="Q755" t="n">
        <v>0</v>
      </c>
      <c r="R755" s="2" t="inlineStr"/>
    </row>
    <row r="756" ht="15" customHeight="1">
      <c r="A756" t="inlineStr">
        <is>
          <t>A 38422-2023</t>
        </is>
      </c>
      <c r="B756" s="1" t="n">
        <v>45162</v>
      </c>
      <c r="C756" s="1" t="n">
        <v>45564</v>
      </c>
      <c r="D756" t="inlineStr">
        <is>
          <t>ÖREBRO LÄN</t>
        </is>
      </c>
      <c r="E756" t="inlineStr">
        <is>
          <t>ÖREBRO</t>
        </is>
      </c>
      <c r="G756" t="n">
        <v>8</v>
      </c>
      <c r="H756" t="n">
        <v>0</v>
      </c>
      <c r="I756" t="n">
        <v>0</v>
      </c>
      <c r="J756" t="n">
        <v>0</v>
      </c>
      <c r="K756" t="n">
        <v>0</v>
      </c>
      <c r="L756" t="n">
        <v>0</v>
      </c>
      <c r="M756" t="n">
        <v>0</v>
      </c>
      <c r="N756" t="n">
        <v>0</v>
      </c>
      <c r="O756" t="n">
        <v>0</v>
      </c>
      <c r="P756" t="n">
        <v>0</v>
      </c>
      <c r="Q756" t="n">
        <v>0</v>
      </c>
      <c r="R756" s="2" t="inlineStr"/>
    </row>
    <row r="757" ht="15" customHeight="1">
      <c r="A757" t="inlineStr">
        <is>
          <t>A 38489-2023</t>
        </is>
      </c>
      <c r="B757" s="1" t="n">
        <v>45162</v>
      </c>
      <c r="C757" s="1" t="n">
        <v>45564</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38573-2023</t>
        </is>
      </c>
      <c r="B758" s="1" t="n">
        <v>45162</v>
      </c>
      <c r="C758" s="1" t="n">
        <v>45564</v>
      </c>
      <c r="D758" t="inlineStr">
        <is>
          <t>ÖREBRO LÄN</t>
        </is>
      </c>
      <c r="E758" t="inlineStr">
        <is>
          <t>ÖREBRO</t>
        </is>
      </c>
      <c r="G758" t="n">
        <v>2.2</v>
      </c>
      <c r="H758" t="n">
        <v>0</v>
      </c>
      <c r="I758" t="n">
        <v>0</v>
      </c>
      <c r="J758" t="n">
        <v>0</v>
      </c>
      <c r="K758" t="n">
        <v>0</v>
      </c>
      <c r="L758" t="n">
        <v>0</v>
      </c>
      <c r="M758" t="n">
        <v>0</v>
      </c>
      <c r="N758" t="n">
        <v>0</v>
      </c>
      <c r="O758" t="n">
        <v>0</v>
      </c>
      <c r="P758" t="n">
        <v>0</v>
      </c>
      <c r="Q758" t="n">
        <v>0</v>
      </c>
      <c r="R758" s="2" t="inlineStr"/>
    </row>
    <row r="759" ht="15" customHeight="1">
      <c r="A759" t="inlineStr">
        <is>
          <t>A 38583-2023</t>
        </is>
      </c>
      <c r="B759" s="1" t="n">
        <v>45162</v>
      </c>
      <c r="C759" s="1" t="n">
        <v>45564</v>
      </c>
      <c r="D759" t="inlineStr">
        <is>
          <t>ÖREBRO LÄN</t>
        </is>
      </c>
      <c r="E759" t="inlineStr">
        <is>
          <t>ÖREBRO</t>
        </is>
      </c>
      <c r="G759" t="n">
        <v>5.7</v>
      </c>
      <c r="H759" t="n">
        <v>0</v>
      </c>
      <c r="I759" t="n">
        <v>0</v>
      </c>
      <c r="J759" t="n">
        <v>0</v>
      </c>
      <c r="K759" t="n">
        <v>0</v>
      </c>
      <c r="L759" t="n">
        <v>0</v>
      </c>
      <c r="M759" t="n">
        <v>0</v>
      </c>
      <c r="N759" t="n">
        <v>0</v>
      </c>
      <c r="O759" t="n">
        <v>0</v>
      </c>
      <c r="P759" t="n">
        <v>0</v>
      </c>
      <c r="Q759" t="n">
        <v>0</v>
      </c>
      <c r="R759" s="2" t="inlineStr"/>
    </row>
    <row r="760" ht="15" customHeight="1">
      <c r="A760" t="inlineStr">
        <is>
          <t>A 38898-2023</t>
        </is>
      </c>
      <c r="B760" s="1" t="n">
        <v>45163</v>
      </c>
      <c r="C760" s="1" t="n">
        <v>45564</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39130-2023</t>
        </is>
      </c>
      <c r="B761" s="1" t="n">
        <v>45165</v>
      </c>
      <c r="C761" s="1" t="n">
        <v>45564</v>
      </c>
      <c r="D761" t="inlineStr">
        <is>
          <t>ÖREBRO LÄN</t>
        </is>
      </c>
      <c r="E761" t="inlineStr">
        <is>
          <t>ÖREBRO</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39696-2023</t>
        </is>
      </c>
      <c r="B762" s="1" t="n">
        <v>45167</v>
      </c>
      <c r="C762" s="1" t="n">
        <v>45564</v>
      </c>
      <c r="D762" t="inlineStr">
        <is>
          <t>ÖREBRO LÄN</t>
        </is>
      </c>
      <c r="E762" t="inlineStr">
        <is>
          <t>ÖREBRO</t>
        </is>
      </c>
      <c r="G762" t="n">
        <v>4.7</v>
      </c>
      <c r="H762" t="n">
        <v>0</v>
      </c>
      <c r="I762" t="n">
        <v>0</v>
      </c>
      <c r="J762" t="n">
        <v>0</v>
      </c>
      <c r="K762" t="n">
        <v>0</v>
      </c>
      <c r="L762" t="n">
        <v>0</v>
      </c>
      <c r="M762" t="n">
        <v>0</v>
      </c>
      <c r="N762" t="n">
        <v>0</v>
      </c>
      <c r="O762" t="n">
        <v>0</v>
      </c>
      <c r="P762" t="n">
        <v>0</v>
      </c>
      <c r="Q762" t="n">
        <v>0</v>
      </c>
      <c r="R762" s="2" t="inlineStr"/>
    </row>
    <row r="763" ht="15" customHeight="1">
      <c r="A763" t="inlineStr">
        <is>
          <t>A 39782-2023</t>
        </is>
      </c>
      <c r="B763" s="1" t="n">
        <v>45167</v>
      </c>
      <c r="C763" s="1" t="n">
        <v>45564</v>
      </c>
      <c r="D763" t="inlineStr">
        <is>
          <t>ÖREBRO LÄN</t>
        </is>
      </c>
      <c r="E763" t="inlineStr">
        <is>
          <t>ÖREBRO</t>
        </is>
      </c>
      <c r="G763" t="n">
        <v>1.4</v>
      </c>
      <c r="H763" t="n">
        <v>0</v>
      </c>
      <c r="I763" t="n">
        <v>0</v>
      </c>
      <c r="J763" t="n">
        <v>0</v>
      </c>
      <c r="K763" t="n">
        <v>0</v>
      </c>
      <c r="L763" t="n">
        <v>0</v>
      </c>
      <c r="M763" t="n">
        <v>0</v>
      </c>
      <c r="N763" t="n">
        <v>0</v>
      </c>
      <c r="O763" t="n">
        <v>0</v>
      </c>
      <c r="P763" t="n">
        <v>0</v>
      </c>
      <c r="Q763" t="n">
        <v>0</v>
      </c>
      <c r="R763" s="2" t="inlineStr"/>
    </row>
    <row r="764" ht="15" customHeight="1">
      <c r="A764" t="inlineStr">
        <is>
          <t>A 40656-2023</t>
        </is>
      </c>
      <c r="B764" s="1" t="n">
        <v>45170</v>
      </c>
      <c r="C764" s="1" t="n">
        <v>45564</v>
      </c>
      <c r="D764" t="inlineStr">
        <is>
          <t>ÖREBRO LÄN</t>
        </is>
      </c>
      <c r="E764" t="inlineStr">
        <is>
          <t>ÖREBRO</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41255-2023</t>
        </is>
      </c>
      <c r="B765" s="1" t="n">
        <v>45174</v>
      </c>
      <c r="C765" s="1" t="n">
        <v>45564</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41455-2023</t>
        </is>
      </c>
      <c r="B766" s="1" t="n">
        <v>45175</v>
      </c>
      <c r="C766" s="1" t="n">
        <v>45564</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41593-2023</t>
        </is>
      </c>
      <c r="B767" s="1" t="n">
        <v>45175</v>
      </c>
      <c r="C767" s="1" t="n">
        <v>45564</v>
      </c>
      <c r="D767" t="inlineStr">
        <is>
          <t>ÖREBRO LÄN</t>
        </is>
      </c>
      <c r="E767" t="inlineStr">
        <is>
          <t>ÖREBRO</t>
        </is>
      </c>
      <c r="G767" t="n">
        <v>2.2</v>
      </c>
      <c r="H767" t="n">
        <v>0</v>
      </c>
      <c r="I767" t="n">
        <v>0</v>
      </c>
      <c r="J767" t="n">
        <v>0</v>
      </c>
      <c r="K767" t="n">
        <v>0</v>
      </c>
      <c r="L767" t="n">
        <v>0</v>
      </c>
      <c r="M767" t="n">
        <v>0</v>
      </c>
      <c r="N767" t="n">
        <v>0</v>
      </c>
      <c r="O767" t="n">
        <v>0</v>
      </c>
      <c r="P767" t="n">
        <v>0</v>
      </c>
      <c r="Q767" t="n">
        <v>0</v>
      </c>
      <c r="R767" s="2" t="inlineStr"/>
    </row>
    <row r="768" ht="15" customHeight="1">
      <c r="A768" t="inlineStr">
        <is>
          <t>A 41466-2023</t>
        </is>
      </c>
      <c r="B768" s="1" t="n">
        <v>45175</v>
      </c>
      <c r="C768" s="1" t="n">
        <v>45564</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41974-2023</t>
        </is>
      </c>
      <c r="B769" s="1" t="n">
        <v>45177</v>
      </c>
      <c r="C769" s="1" t="n">
        <v>45564</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41992-2023</t>
        </is>
      </c>
      <c r="B770" s="1" t="n">
        <v>45177</v>
      </c>
      <c r="C770" s="1" t="n">
        <v>45564</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43273-2023</t>
        </is>
      </c>
      <c r="B771" s="1" t="n">
        <v>45180</v>
      </c>
      <c r="C771" s="1" t="n">
        <v>45564</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43255-2023</t>
        </is>
      </c>
      <c r="B772" s="1" t="n">
        <v>45180</v>
      </c>
      <c r="C772" s="1" t="n">
        <v>45564</v>
      </c>
      <c r="D772" t="inlineStr">
        <is>
          <t>ÖREBRO LÄN</t>
        </is>
      </c>
      <c r="E772" t="inlineStr">
        <is>
          <t>ÖREBRO</t>
        </is>
      </c>
      <c r="G772" t="n">
        <v>4.8</v>
      </c>
      <c r="H772" t="n">
        <v>0</v>
      </c>
      <c r="I772" t="n">
        <v>0</v>
      </c>
      <c r="J772" t="n">
        <v>0</v>
      </c>
      <c r="K772" t="n">
        <v>0</v>
      </c>
      <c r="L772" t="n">
        <v>0</v>
      </c>
      <c r="M772" t="n">
        <v>0</v>
      </c>
      <c r="N772" t="n">
        <v>0</v>
      </c>
      <c r="O772" t="n">
        <v>0</v>
      </c>
      <c r="P772" t="n">
        <v>0</v>
      </c>
      <c r="Q772" t="n">
        <v>0</v>
      </c>
      <c r="R772" s="2" t="inlineStr"/>
    </row>
    <row r="773" ht="15" customHeight="1">
      <c r="A773" t="inlineStr">
        <is>
          <t>A 42636-2023</t>
        </is>
      </c>
      <c r="B773" s="1" t="n">
        <v>45181</v>
      </c>
      <c r="C773" s="1" t="n">
        <v>45564</v>
      </c>
      <c r="D773" t="inlineStr">
        <is>
          <t>ÖREBRO LÄN</t>
        </is>
      </c>
      <c r="E773" t="inlineStr">
        <is>
          <t>ÖREBRO</t>
        </is>
      </c>
      <c r="G773" t="n">
        <v>1.7</v>
      </c>
      <c r="H773" t="n">
        <v>0</v>
      </c>
      <c r="I773" t="n">
        <v>0</v>
      </c>
      <c r="J773" t="n">
        <v>0</v>
      </c>
      <c r="K773" t="n">
        <v>0</v>
      </c>
      <c r="L773" t="n">
        <v>0</v>
      </c>
      <c r="M773" t="n">
        <v>0</v>
      </c>
      <c r="N773" t="n">
        <v>0</v>
      </c>
      <c r="O773" t="n">
        <v>0</v>
      </c>
      <c r="P773" t="n">
        <v>0</v>
      </c>
      <c r="Q773" t="n">
        <v>0</v>
      </c>
      <c r="R773" s="2" t="inlineStr"/>
    </row>
    <row r="774" ht="15" customHeight="1">
      <c r="A774" t="inlineStr">
        <is>
          <t>A 43520-2023</t>
        </is>
      </c>
      <c r="B774" s="1" t="n">
        <v>45184</v>
      </c>
      <c r="C774" s="1" t="n">
        <v>45564</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43803-2023</t>
        </is>
      </c>
      <c r="B775" s="1" t="n">
        <v>45187</v>
      </c>
      <c r="C775" s="1" t="n">
        <v>45564</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44511-2023</t>
        </is>
      </c>
      <c r="B776" s="1" t="n">
        <v>45189</v>
      </c>
      <c r="C776" s="1" t="n">
        <v>45564</v>
      </c>
      <c r="D776" t="inlineStr">
        <is>
          <t>ÖREBRO LÄN</t>
        </is>
      </c>
      <c r="E776" t="inlineStr">
        <is>
          <t>ÖREBRO</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45897-2023</t>
        </is>
      </c>
      <c r="B777" s="1" t="n">
        <v>45189</v>
      </c>
      <c r="C777" s="1" t="n">
        <v>45564</v>
      </c>
      <c r="D777" t="inlineStr">
        <is>
          <t>ÖREBRO LÄN</t>
        </is>
      </c>
      <c r="E777" t="inlineStr">
        <is>
          <t>ÖREBRO</t>
        </is>
      </c>
      <c r="G777" t="n">
        <v>13</v>
      </c>
      <c r="H777" t="n">
        <v>0</v>
      </c>
      <c r="I777" t="n">
        <v>0</v>
      </c>
      <c r="J777" t="n">
        <v>0</v>
      </c>
      <c r="K777" t="n">
        <v>0</v>
      </c>
      <c r="L777" t="n">
        <v>0</v>
      </c>
      <c r="M777" t="n">
        <v>0</v>
      </c>
      <c r="N777" t="n">
        <v>0</v>
      </c>
      <c r="O777" t="n">
        <v>0</v>
      </c>
      <c r="P777" t="n">
        <v>0</v>
      </c>
      <c r="Q777" t="n">
        <v>0</v>
      </c>
      <c r="R777" s="2" t="inlineStr"/>
    </row>
    <row r="778" ht="15" customHeight="1">
      <c r="A778" t="inlineStr">
        <is>
          <t>A 45237-2023</t>
        </is>
      </c>
      <c r="B778" s="1" t="n">
        <v>45191</v>
      </c>
      <c r="C778" s="1" t="n">
        <v>45564</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45517-2023</t>
        </is>
      </c>
      <c r="B779" s="1" t="n">
        <v>45194</v>
      </c>
      <c r="C779" s="1" t="n">
        <v>45564</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46182-2023</t>
        </is>
      </c>
      <c r="B780" s="1" t="n">
        <v>45196</v>
      </c>
      <c r="C780" s="1" t="n">
        <v>45564</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46496-2023</t>
        </is>
      </c>
      <c r="B781" s="1" t="n">
        <v>45197</v>
      </c>
      <c r="C781" s="1" t="n">
        <v>45564</v>
      </c>
      <c r="D781" t="inlineStr">
        <is>
          <t>ÖREBRO LÄN</t>
        </is>
      </c>
      <c r="E781" t="inlineStr">
        <is>
          <t>ÖREBRO</t>
        </is>
      </c>
      <c r="G781" t="n">
        <v>3</v>
      </c>
      <c r="H781" t="n">
        <v>0</v>
      </c>
      <c r="I781" t="n">
        <v>0</v>
      </c>
      <c r="J781" t="n">
        <v>0</v>
      </c>
      <c r="K781" t="n">
        <v>0</v>
      </c>
      <c r="L781" t="n">
        <v>0</v>
      </c>
      <c r="M781" t="n">
        <v>0</v>
      </c>
      <c r="N781" t="n">
        <v>0</v>
      </c>
      <c r="O781" t="n">
        <v>0</v>
      </c>
      <c r="P781" t="n">
        <v>0</v>
      </c>
      <c r="Q781" t="n">
        <v>0</v>
      </c>
      <c r="R781" s="2" t="inlineStr"/>
    </row>
    <row r="782" ht="15" customHeight="1">
      <c r="A782" t="inlineStr">
        <is>
          <t>A 46502-2023</t>
        </is>
      </c>
      <c r="B782" s="1" t="n">
        <v>45197</v>
      </c>
      <c r="C782" s="1" t="n">
        <v>45564</v>
      </c>
      <c r="D782" t="inlineStr">
        <is>
          <t>ÖREBRO LÄN</t>
        </is>
      </c>
      <c r="E782" t="inlineStr">
        <is>
          <t>ÖREBRO</t>
        </is>
      </c>
      <c r="G782" t="n">
        <v>7.7</v>
      </c>
      <c r="H782" t="n">
        <v>0</v>
      </c>
      <c r="I782" t="n">
        <v>0</v>
      </c>
      <c r="J782" t="n">
        <v>0</v>
      </c>
      <c r="K782" t="n">
        <v>0</v>
      </c>
      <c r="L782" t="n">
        <v>0</v>
      </c>
      <c r="M782" t="n">
        <v>0</v>
      </c>
      <c r="N782" t="n">
        <v>0</v>
      </c>
      <c r="O782" t="n">
        <v>0</v>
      </c>
      <c r="P782" t="n">
        <v>0</v>
      </c>
      <c r="Q782" t="n">
        <v>0</v>
      </c>
      <c r="R782" s="2" t="inlineStr"/>
    </row>
    <row r="783" ht="15" customHeight="1">
      <c r="A783" t="inlineStr">
        <is>
          <t>A 46514-2023</t>
        </is>
      </c>
      <c r="B783" s="1" t="n">
        <v>45197</v>
      </c>
      <c r="C783" s="1" t="n">
        <v>45564</v>
      </c>
      <c r="D783" t="inlineStr">
        <is>
          <t>ÖREBRO LÄN</t>
        </is>
      </c>
      <c r="E783" t="inlineStr">
        <is>
          <t>ÖREBRO</t>
        </is>
      </c>
      <c r="G783" t="n">
        <v>10.9</v>
      </c>
      <c r="H783" t="n">
        <v>0</v>
      </c>
      <c r="I783" t="n">
        <v>0</v>
      </c>
      <c r="J783" t="n">
        <v>0</v>
      </c>
      <c r="K783" t="n">
        <v>0</v>
      </c>
      <c r="L783" t="n">
        <v>0</v>
      </c>
      <c r="M783" t="n">
        <v>0</v>
      </c>
      <c r="N783" t="n">
        <v>0</v>
      </c>
      <c r="O783" t="n">
        <v>0</v>
      </c>
      <c r="P783" t="n">
        <v>0</v>
      </c>
      <c r="Q783" t="n">
        <v>0</v>
      </c>
      <c r="R783" s="2" t="inlineStr"/>
    </row>
    <row r="784" ht="15" customHeight="1">
      <c r="A784" t="inlineStr">
        <is>
          <t>A 46518-2023</t>
        </is>
      </c>
      <c r="B784" s="1" t="n">
        <v>45197</v>
      </c>
      <c r="C784" s="1" t="n">
        <v>45564</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47193-2023</t>
        </is>
      </c>
      <c r="B785" s="1" t="n">
        <v>45202</v>
      </c>
      <c r="C785" s="1" t="n">
        <v>45564</v>
      </c>
      <c r="D785" t="inlineStr">
        <is>
          <t>ÖREBRO LÄN</t>
        </is>
      </c>
      <c r="E785" t="inlineStr">
        <is>
          <t>ÖREBRO</t>
        </is>
      </c>
      <c r="G785" t="n">
        <v>2.4</v>
      </c>
      <c r="H785" t="n">
        <v>0</v>
      </c>
      <c r="I785" t="n">
        <v>0</v>
      </c>
      <c r="J785" t="n">
        <v>0</v>
      </c>
      <c r="K785" t="n">
        <v>0</v>
      </c>
      <c r="L785" t="n">
        <v>0</v>
      </c>
      <c r="M785" t="n">
        <v>0</v>
      </c>
      <c r="N785" t="n">
        <v>0</v>
      </c>
      <c r="O785" t="n">
        <v>0</v>
      </c>
      <c r="P785" t="n">
        <v>0</v>
      </c>
      <c r="Q785" t="n">
        <v>0</v>
      </c>
      <c r="R785" s="2" t="inlineStr"/>
    </row>
    <row r="786" ht="15" customHeight="1">
      <c r="A786" t="inlineStr">
        <is>
          <t>A 48350-2023</t>
        </is>
      </c>
      <c r="B786" s="1" t="n">
        <v>45205</v>
      </c>
      <c r="C786" s="1" t="n">
        <v>45564</v>
      </c>
      <c r="D786" t="inlineStr">
        <is>
          <t>ÖREBRO LÄN</t>
        </is>
      </c>
      <c r="E786" t="inlineStr">
        <is>
          <t>ÖREBRO</t>
        </is>
      </c>
      <c r="G786" t="n">
        <v>3.2</v>
      </c>
      <c r="H786" t="n">
        <v>0</v>
      </c>
      <c r="I786" t="n">
        <v>0</v>
      </c>
      <c r="J786" t="n">
        <v>0</v>
      </c>
      <c r="K786" t="n">
        <v>0</v>
      </c>
      <c r="L786" t="n">
        <v>0</v>
      </c>
      <c r="M786" t="n">
        <v>0</v>
      </c>
      <c r="N786" t="n">
        <v>0</v>
      </c>
      <c r="O786" t="n">
        <v>0</v>
      </c>
      <c r="P786" t="n">
        <v>0</v>
      </c>
      <c r="Q786" t="n">
        <v>0</v>
      </c>
      <c r="R786" s="2" t="inlineStr"/>
    </row>
    <row r="787" ht="15" customHeight="1">
      <c r="A787" t="inlineStr">
        <is>
          <t>A 49062-2023</t>
        </is>
      </c>
      <c r="B787" s="1" t="n">
        <v>45210</v>
      </c>
      <c r="C787" s="1" t="n">
        <v>45564</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49215-2023</t>
        </is>
      </c>
      <c r="B788" s="1" t="n">
        <v>45210</v>
      </c>
      <c r="C788" s="1" t="n">
        <v>45564</v>
      </c>
      <c r="D788" t="inlineStr">
        <is>
          <t>ÖREBRO LÄN</t>
        </is>
      </c>
      <c r="E788" t="inlineStr">
        <is>
          <t>ÖREBRO</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51373-2023</t>
        </is>
      </c>
      <c r="B789" s="1" t="n">
        <v>45213</v>
      </c>
      <c r="C789" s="1" t="n">
        <v>45564</v>
      </c>
      <c r="D789" t="inlineStr">
        <is>
          <t>ÖREBRO LÄN</t>
        </is>
      </c>
      <c r="E789" t="inlineStr">
        <is>
          <t>ÖREBRO</t>
        </is>
      </c>
      <c r="G789" t="n">
        <v>5.9</v>
      </c>
      <c r="H789" t="n">
        <v>0</v>
      </c>
      <c r="I789" t="n">
        <v>0</v>
      </c>
      <c r="J789" t="n">
        <v>0</v>
      </c>
      <c r="K789" t="n">
        <v>0</v>
      </c>
      <c r="L789" t="n">
        <v>0</v>
      </c>
      <c r="M789" t="n">
        <v>0</v>
      </c>
      <c r="N789" t="n">
        <v>0</v>
      </c>
      <c r="O789" t="n">
        <v>0</v>
      </c>
      <c r="P789" t="n">
        <v>0</v>
      </c>
      <c r="Q789" t="n">
        <v>0</v>
      </c>
      <c r="R789" s="2" t="inlineStr"/>
    </row>
    <row r="790" ht="15" customHeight="1">
      <c r="A790" t="inlineStr">
        <is>
          <t>A 50450-2023</t>
        </is>
      </c>
      <c r="B790" s="1" t="n">
        <v>45216</v>
      </c>
      <c r="C790" s="1" t="n">
        <v>45564</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50446-2023</t>
        </is>
      </c>
      <c r="B791" s="1" t="n">
        <v>45216</v>
      </c>
      <c r="C791" s="1" t="n">
        <v>45564</v>
      </c>
      <c r="D791" t="inlineStr">
        <is>
          <t>ÖREBRO LÄN</t>
        </is>
      </c>
      <c r="E791" t="inlineStr">
        <is>
          <t>ÖREBRO</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51315-2023</t>
        </is>
      </c>
      <c r="B792" s="1" t="n">
        <v>45219</v>
      </c>
      <c r="C792" s="1" t="n">
        <v>45564</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51180-2023</t>
        </is>
      </c>
      <c r="B793" s="1" t="n">
        <v>45219</v>
      </c>
      <c r="C793" s="1" t="n">
        <v>45564</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51297-2023</t>
        </is>
      </c>
      <c r="B794" s="1" t="n">
        <v>45219</v>
      </c>
      <c r="C794" s="1" t="n">
        <v>45564</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51327-2023</t>
        </is>
      </c>
      <c r="B795" s="1" t="n">
        <v>45219</v>
      </c>
      <c r="C795" s="1" t="n">
        <v>45564</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51331-2023</t>
        </is>
      </c>
      <c r="B796" s="1" t="n">
        <v>45219</v>
      </c>
      <c r="C796" s="1" t="n">
        <v>45564</v>
      </c>
      <c r="D796" t="inlineStr">
        <is>
          <t>ÖREBRO LÄN</t>
        </is>
      </c>
      <c r="E796" t="inlineStr">
        <is>
          <t>ÖREBRO</t>
        </is>
      </c>
      <c r="F796" t="inlineStr">
        <is>
          <t>Kommuner</t>
        </is>
      </c>
      <c r="G796" t="n">
        <v>1.3</v>
      </c>
      <c r="H796" t="n">
        <v>0</v>
      </c>
      <c r="I796" t="n">
        <v>0</v>
      </c>
      <c r="J796" t="n">
        <v>0</v>
      </c>
      <c r="K796" t="n">
        <v>0</v>
      </c>
      <c r="L796" t="n">
        <v>0</v>
      </c>
      <c r="M796" t="n">
        <v>0</v>
      </c>
      <c r="N796" t="n">
        <v>0</v>
      </c>
      <c r="O796" t="n">
        <v>0</v>
      </c>
      <c r="P796" t="n">
        <v>0</v>
      </c>
      <c r="Q796" t="n">
        <v>0</v>
      </c>
      <c r="R796" s="2" t="inlineStr"/>
    </row>
    <row r="797" ht="15" customHeight="1">
      <c r="A797" t="inlineStr">
        <is>
          <t>A 51962-2023</t>
        </is>
      </c>
      <c r="B797" s="1" t="n">
        <v>45223</v>
      </c>
      <c r="C797" s="1" t="n">
        <v>45564</v>
      </c>
      <c r="D797" t="inlineStr">
        <is>
          <t>ÖREBRO LÄN</t>
        </is>
      </c>
      <c r="E797" t="inlineStr">
        <is>
          <t>ÖREBRO</t>
        </is>
      </c>
      <c r="G797" t="n">
        <v>1.4</v>
      </c>
      <c r="H797" t="n">
        <v>0</v>
      </c>
      <c r="I797" t="n">
        <v>0</v>
      </c>
      <c r="J797" t="n">
        <v>0</v>
      </c>
      <c r="K797" t="n">
        <v>0</v>
      </c>
      <c r="L797" t="n">
        <v>0</v>
      </c>
      <c r="M797" t="n">
        <v>0</v>
      </c>
      <c r="N797" t="n">
        <v>0</v>
      </c>
      <c r="O797" t="n">
        <v>0</v>
      </c>
      <c r="P797" t="n">
        <v>0</v>
      </c>
      <c r="Q797" t="n">
        <v>0</v>
      </c>
      <c r="R797" s="2" t="inlineStr"/>
    </row>
    <row r="798" ht="15" customHeight="1">
      <c r="A798" t="inlineStr">
        <is>
          <t>A 52005-2023</t>
        </is>
      </c>
      <c r="B798" s="1" t="n">
        <v>45223</v>
      </c>
      <c r="C798" s="1" t="n">
        <v>45564</v>
      </c>
      <c r="D798" t="inlineStr">
        <is>
          <t>ÖREBRO LÄN</t>
        </is>
      </c>
      <c r="E798" t="inlineStr">
        <is>
          <t>ÖREBRO</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52256-2023</t>
        </is>
      </c>
      <c r="B799" s="1" t="n">
        <v>45224</v>
      </c>
      <c r="C799" s="1" t="n">
        <v>45564</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53234-2023</t>
        </is>
      </c>
      <c r="B800" s="1" t="n">
        <v>45229</v>
      </c>
      <c r="C800" s="1" t="n">
        <v>45564</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53143-2023</t>
        </is>
      </c>
      <c r="B801" s="1" t="n">
        <v>45229</v>
      </c>
      <c r="C801" s="1" t="n">
        <v>45564</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53170-2023</t>
        </is>
      </c>
      <c r="B802" s="1" t="n">
        <v>45229</v>
      </c>
      <c r="C802" s="1" t="n">
        <v>45564</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54925-2023</t>
        </is>
      </c>
      <c r="B803" s="1" t="n">
        <v>45229</v>
      </c>
      <c r="C803" s="1" t="n">
        <v>45564</v>
      </c>
      <c r="D803" t="inlineStr">
        <is>
          <t>ÖREBRO LÄN</t>
        </is>
      </c>
      <c r="E803" t="inlineStr">
        <is>
          <t>ÖREBRO</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54917-2023</t>
        </is>
      </c>
      <c r="B804" s="1" t="n">
        <v>45229</v>
      </c>
      <c r="C804" s="1" t="n">
        <v>45564</v>
      </c>
      <c r="D804" t="inlineStr">
        <is>
          <t>ÖREBRO LÄN</t>
        </is>
      </c>
      <c r="E804" t="inlineStr">
        <is>
          <t>ÖREBRO</t>
        </is>
      </c>
      <c r="G804" t="n">
        <v>3.1</v>
      </c>
      <c r="H804" t="n">
        <v>0</v>
      </c>
      <c r="I804" t="n">
        <v>0</v>
      </c>
      <c r="J804" t="n">
        <v>0</v>
      </c>
      <c r="K804" t="n">
        <v>0</v>
      </c>
      <c r="L804" t="n">
        <v>0</v>
      </c>
      <c r="M804" t="n">
        <v>0</v>
      </c>
      <c r="N804" t="n">
        <v>0</v>
      </c>
      <c r="O804" t="n">
        <v>0</v>
      </c>
      <c r="P804" t="n">
        <v>0</v>
      </c>
      <c r="Q804" t="n">
        <v>0</v>
      </c>
      <c r="R804" s="2" t="inlineStr"/>
    </row>
    <row r="805" ht="15" customHeight="1">
      <c r="A805" t="inlineStr">
        <is>
          <t>A 53598-2023</t>
        </is>
      </c>
      <c r="B805" s="1" t="n">
        <v>45230</v>
      </c>
      <c r="C805" s="1" t="n">
        <v>45564</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53802-2023</t>
        </is>
      </c>
      <c r="B806" s="1" t="n">
        <v>45230</v>
      </c>
      <c r="C806" s="1" t="n">
        <v>45564</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53558-2023</t>
        </is>
      </c>
      <c r="B807" s="1" t="n">
        <v>45230</v>
      </c>
      <c r="C807" s="1" t="n">
        <v>45564</v>
      </c>
      <c r="D807" t="inlineStr">
        <is>
          <t>ÖREBRO LÄN</t>
        </is>
      </c>
      <c r="E807" t="inlineStr">
        <is>
          <t>ÖREBRO</t>
        </is>
      </c>
      <c r="F807" t="inlineStr">
        <is>
          <t>Övriga Aktiebolag</t>
        </is>
      </c>
      <c r="G807" t="n">
        <v>4.7</v>
      </c>
      <c r="H807" t="n">
        <v>0</v>
      </c>
      <c r="I807" t="n">
        <v>0</v>
      </c>
      <c r="J807" t="n">
        <v>0</v>
      </c>
      <c r="K807" t="n">
        <v>0</v>
      </c>
      <c r="L807" t="n">
        <v>0</v>
      </c>
      <c r="M807" t="n">
        <v>0</v>
      </c>
      <c r="N807" t="n">
        <v>0</v>
      </c>
      <c r="O807" t="n">
        <v>0</v>
      </c>
      <c r="P807" t="n">
        <v>0</v>
      </c>
      <c r="Q807" t="n">
        <v>0</v>
      </c>
      <c r="R807" s="2" t="inlineStr"/>
    </row>
    <row r="808" ht="15" customHeight="1">
      <c r="A808" t="inlineStr">
        <is>
          <t>A 54561-2023</t>
        </is>
      </c>
      <c r="B808" s="1" t="n">
        <v>45233</v>
      </c>
      <c r="C808" s="1" t="n">
        <v>45564</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54505-2023</t>
        </is>
      </c>
      <c r="B809" s="1" t="n">
        <v>45233</v>
      </c>
      <c r="C809" s="1" t="n">
        <v>45564</v>
      </c>
      <c r="D809" t="inlineStr">
        <is>
          <t>ÖREBRO LÄN</t>
        </is>
      </c>
      <c r="E809" t="inlineStr">
        <is>
          <t>ÖREBRO</t>
        </is>
      </c>
      <c r="F809" t="inlineStr">
        <is>
          <t>Övriga Aktiebolag</t>
        </is>
      </c>
      <c r="G809" t="n">
        <v>7.2</v>
      </c>
      <c r="H809" t="n">
        <v>0</v>
      </c>
      <c r="I809" t="n">
        <v>0</v>
      </c>
      <c r="J809" t="n">
        <v>0</v>
      </c>
      <c r="K809" t="n">
        <v>0</v>
      </c>
      <c r="L809" t="n">
        <v>0</v>
      </c>
      <c r="M809" t="n">
        <v>0</v>
      </c>
      <c r="N809" t="n">
        <v>0</v>
      </c>
      <c r="O809" t="n">
        <v>0</v>
      </c>
      <c r="P809" t="n">
        <v>0</v>
      </c>
      <c r="Q809" t="n">
        <v>0</v>
      </c>
      <c r="R809" s="2" t="inlineStr"/>
    </row>
    <row r="810" ht="15" customHeight="1">
      <c r="A810" t="inlineStr">
        <is>
          <t>A 54558-2023</t>
        </is>
      </c>
      <c r="B810" s="1" t="n">
        <v>45233</v>
      </c>
      <c r="C810" s="1" t="n">
        <v>45564</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54678-2023</t>
        </is>
      </c>
      <c r="B811" s="1" t="n">
        <v>45235</v>
      </c>
      <c r="C811" s="1" t="n">
        <v>45564</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54865-2023</t>
        </is>
      </c>
      <c r="B812" s="1" t="n">
        <v>45236</v>
      </c>
      <c r="C812" s="1" t="n">
        <v>45564</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55008-2023</t>
        </is>
      </c>
      <c r="B813" s="1" t="n">
        <v>45236</v>
      </c>
      <c r="C813" s="1" t="n">
        <v>45564</v>
      </c>
      <c r="D813" t="inlineStr">
        <is>
          <t>ÖREBRO LÄN</t>
        </is>
      </c>
      <c r="E813" t="inlineStr">
        <is>
          <t>ÖREBRO</t>
        </is>
      </c>
      <c r="G813" t="n">
        <v>4</v>
      </c>
      <c r="H813" t="n">
        <v>0</v>
      </c>
      <c r="I813" t="n">
        <v>0</v>
      </c>
      <c r="J813" t="n">
        <v>0</v>
      </c>
      <c r="K813" t="n">
        <v>0</v>
      </c>
      <c r="L813" t="n">
        <v>0</v>
      </c>
      <c r="M813" t="n">
        <v>0</v>
      </c>
      <c r="N813" t="n">
        <v>0</v>
      </c>
      <c r="O813" t="n">
        <v>0</v>
      </c>
      <c r="P813" t="n">
        <v>0</v>
      </c>
      <c r="Q813" t="n">
        <v>0</v>
      </c>
      <c r="R813" s="2" t="inlineStr"/>
    </row>
    <row r="814" ht="15" customHeight="1">
      <c r="A814" t="inlineStr">
        <is>
          <t>A 55472-2023</t>
        </is>
      </c>
      <c r="B814" s="1" t="n">
        <v>45238</v>
      </c>
      <c r="C814" s="1" t="n">
        <v>45564</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55692-2023</t>
        </is>
      </c>
      <c r="B815" s="1" t="n">
        <v>45239</v>
      </c>
      <c r="C815" s="1" t="n">
        <v>45564</v>
      </c>
      <c r="D815" t="inlineStr">
        <is>
          <t>ÖREBRO LÄN</t>
        </is>
      </c>
      <c r="E815" t="inlineStr">
        <is>
          <t>ÖREBRO</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55745-2023</t>
        </is>
      </c>
      <c r="B816" s="1" t="n">
        <v>45239</v>
      </c>
      <c r="C816" s="1" t="n">
        <v>45564</v>
      </c>
      <c r="D816" t="inlineStr">
        <is>
          <t>ÖREBRO LÄN</t>
        </is>
      </c>
      <c r="E816" t="inlineStr">
        <is>
          <t>ÖREBRO</t>
        </is>
      </c>
      <c r="G816" t="n">
        <v>13.3</v>
      </c>
      <c r="H816" t="n">
        <v>0</v>
      </c>
      <c r="I816" t="n">
        <v>0</v>
      </c>
      <c r="J816" t="n">
        <v>0</v>
      </c>
      <c r="K816" t="n">
        <v>0</v>
      </c>
      <c r="L816" t="n">
        <v>0</v>
      </c>
      <c r="M816" t="n">
        <v>0</v>
      </c>
      <c r="N816" t="n">
        <v>0</v>
      </c>
      <c r="O816" t="n">
        <v>0</v>
      </c>
      <c r="P816" t="n">
        <v>0</v>
      </c>
      <c r="Q816" t="n">
        <v>0</v>
      </c>
      <c r="R816" s="2" t="inlineStr"/>
    </row>
    <row r="817" ht="15" customHeight="1">
      <c r="A817" t="inlineStr">
        <is>
          <t>A 57312-2023</t>
        </is>
      </c>
      <c r="B817" s="1" t="n">
        <v>45245</v>
      </c>
      <c r="C817" s="1" t="n">
        <v>45564</v>
      </c>
      <c r="D817" t="inlineStr">
        <is>
          <t>ÖREBRO LÄN</t>
        </is>
      </c>
      <c r="E817" t="inlineStr">
        <is>
          <t>ÖREBRO</t>
        </is>
      </c>
      <c r="G817" t="n">
        <v>12.5</v>
      </c>
      <c r="H817" t="n">
        <v>0</v>
      </c>
      <c r="I817" t="n">
        <v>0</v>
      </c>
      <c r="J817" t="n">
        <v>0</v>
      </c>
      <c r="K817" t="n">
        <v>0</v>
      </c>
      <c r="L817" t="n">
        <v>0</v>
      </c>
      <c r="M817" t="n">
        <v>0</v>
      </c>
      <c r="N817" t="n">
        <v>0</v>
      </c>
      <c r="O817" t="n">
        <v>0</v>
      </c>
      <c r="P817" t="n">
        <v>0</v>
      </c>
      <c r="Q817" t="n">
        <v>0</v>
      </c>
      <c r="R817" s="2" t="inlineStr"/>
    </row>
    <row r="818" ht="15" customHeight="1">
      <c r="A818" t="inlineStr">
        <is>
          <t>A 57604-2023</t>
        </is>
      </c>
      <c r="B818" s="1" t="n">
        <v>45246</v>
      </c>
      <c r="C818" s="1" t="n">
        <v>45564</v>
      </c>
      <c r="D818" t="inlineStr">
        <is>
          <t>ÖREBRO LÄN</t>
        </is>
      </c>
      <c r="E818" t="inlineStr">
        <is>
          <t>ÖREBRO</t>
        </is>
      </c>
      <c r="G818" t="n">
        <v>3.7</v>
      </c>
      <c r="H818" t="n">
        <v>0</v>
      </c>
      <c r="I818" t="n">
        <v>0</v>
      </c>
      <c r="J818" t="n">
        <v>0</v>
      </c>
      <c r="K818" t="n">
        <v>0</v>
      </c>
      <c r="L818" t="n">
        <v>0</v>
      </c>
      <c r="M818" t="n">
        <v>0</v>
      </c>
      <c r="N818" t="n">
        <v>0</v>
      </c>
      <c r="O818" t="n">
        <v>0</v>
      </c>
      <c r="P818" t="n">
        <v>0</v>
      </c>
      <c r="Q818" t="n">
        <v>0</v>
      </c>
      <c r="R818" s="2" t="inlineStr"/>
    </row>
    <row r="819" ht="15" customHeight="1">
      <c r="A819" t="inlineStr">
        <is>
          <t>A 57485-2023</t>
        </is>
      </c>
      <c r="B819" s="1" t="n">
        <v>45246</v>
      </c>
      <c r="C819" s="1" t="n">
        <v>45564</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58032-2023</t>
        </is>
      </c>
      <c r="B820" s="1" t="n">
        <v>45247</v>
      </c>
      <c r="C820" s="1" t="n">
        <v>45564</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58035-2023</t>
        </is>
      </c>
      <c r="B821" s="1" t="n">
        <v>45247</v>
      </c>
      <c r="C821" s="1" t="n">
        <v>45564</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58516-2023</t>
        </is>
      </c>
      <c r="B822" s="1" t="n">
        <v>45251</v>
      </c>
      <c r="C822" s="1" t="n">
        <v>45564</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58504-2023</t>
        </is>
      </c>
      <c r="B823" s="1" t="n">
        <v>45251</v>
      </c>
      <c r="C823" s="1" t="n">
        <v>45564</v>
      </c>
      <c r="D823" t="inlineStr">
        <is>
          <t>ÖREBRO LÄN</t>
        </is>
      </c>
      <c r="E823" t="inlineStr">
        <is>
          <t>ÖREBRO</t>
        </is>
      </c>
      <c r="G823" t="n">
        <v>2.1</v>
      </c>
      <c r="H823" t="n">
        <v>0</v>
      </c>
      <c r="I823" t="n">
        <v>0</v>
      </c>
      <c r="J823" t="n">
        <v>0</v>
      </c>
      <c r="K823" t="n">
        <v>0</v>
      </c>
      <c r="L823" t="n">
        <v>0</v>
      </c>
      <c r="M823" t="n">
        <v>0</v>
      </c>
      <c r="N823" t="n">
        <v>0</v>
      </c>
      <c r="O823" t="n">
        <v>0</v>
      </c>
      <c r="P823" t="n">
        <v>0</v>
      </c>
      <c r="Q823" t="n">
        <v>0</v>
      </c>
      <c r="R823" s="2" t="inlineStr"/>
    </row>
    <row r="824" ht="15" customHeight="1">
      <c r="A824" t="inlineStr">
        <is>
          <t>A 58644-2023</t>
        </is>
      </c>
      <c r="B824" s="1" t="n">
        <v>45251</v>
      </c>
      <c r="C824" s="1" t="n">
        <v>45564</v>
      </c>
      <c r="D824" t="inlineStr">
        <is>
          <t>ÖREBRO LÄN</t>
        </is>
      </c>
      <c r="E824" t="inlineStr">
        <is>
          <t>ÖREBRO</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58682-2023</t>
        </is>
      </c>
      <c r="B825" s="1" t="n">
        <v>45251</v>
      </c>
      <c r="C825" s="1" t="n">
        <v>45564</v>
      </c>
      <c r="D825" t="inlineStr">
        <is>
          <t>ÖREBRO LÄN</t>
        </is>
      </c>
      <c r="E825" t="inlineStr">
        <is>
          <t>ÖREBRO</t>
        </is>
      </c>
      <c r="G825" t="n">
        <v>1.3</v>
      </c>
      <c r="H825" t="n">
        <v>0</v>
      </c>
      <c r="I825" t="n">
        <v>0</v>
      </c>
      <c r="J825" t="n">
        <v>0</v>
      </c>
      <c r="K825" t="n">
        <v>0</v>
      </c>
      <c r="L825" t="n">
        <v>0</v>
      </c>
      <c r="M825" t="n">
        <v>0</v>
      </c>
      <c r="N825" t="n">
        <v>0</v>
      </c>
      <c r="O825" t="n">
        <v>0</v>
      </c>
      <c r="P825" t="n">
        <v>0</v>
      </c>
      <c r="Q825" t="n">
        <v>0</v>
      </c>
      <c r="R825" s="2" t="inlineStr"/>
    </row>
    <row r="826" ht="15" customHeight="1">
      <c r="A826" t="inlineStr">
        <is>
          <t>A 58684-2023</t>
        </is>
      </c>
      <c r="B826" s="1" t="n">
        <v>45251</v>
      </c>
      <c r="C826" s="1" t="n">
        <v>45564</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58889-2023</t>
        </is>
      </c>
      <c r="B827" s="1" t="n">
        <v>45252</v>
      </c>
      <c r="C827" s="1" t="n">
        <v>45564</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59037-2023</t>
        </is>
      </c>
      <c r="B828" s="1" t="n">
        <v>45252</v>
      </c>
      <c r="C828" s="1" t="n">
        <v>45564</v>
      </c>
      <c r="D828" t="inlineStr">
        <is>
          <t>ÖREBRO LÄN</t>
        </is>
      </c>
      <c r="E828" t="inlineStr">
        <is>
          <t>ÖREBRO</t>
        </is>
      </c>
      <c r="G828" t="n">
        <v>2.7</v>
      </c>
      <c r="H828" t="n">
        <v>0</v>
      </c>
      <c r="I828" t="n">
        <v>0</v>
      </c>
      <c r="J828" t="n">
        <v>0</v>
      </c>
      <c r="K828" t="n">
        <v>0</v>
      </c>
      <c r="L828" t="n">
        <v>0</v>
      </c>
      <c r="M828" t="n">
        <v>0</v>
      </c>
      <c r="N828" t="n">
        <v>0</v>
      </c>
      <c r="O828" t="n">
        <v>0</v>
      </c>
      <c r="P828" t="n">
        <v>0</v>
      </c>
      <c r="Q828" t="n">
        <v>0</v>
      </c>
      <c r="R828" s="2" t="inlineStr"/>
    </row>
    <row r="829" ht="15" customHeight="1">
      <c r="A829" t="inlineStr">
        <is>
          <t>A 59623-2023</t>
        </is>
      </c>
      <c r="B829" s="1" t="n">
        <v>45254</v>
      </c>
      <c r="C829" s="1" t="n">
        <v>45564</v>
      </c>
      <c r="D829" t="inlineStr">
        <is>
          <t>ÖREBRO LÄN</t>
        </is>
      </c>
      <c r="E829" t="inlineStr">
        <is>
          <t>ÖREBRO</t>
        </is>
      </c>
      <c r="G829" t="n">
        <v>4.6</v>
      </c>
      <c r="H829" t="n">
        <v>0</v>
      </c>
      <c r="I829" t="n">
        <v>0</v>
      </c>
      <c r="J829" t="n">
        <v>0</v>
      </c>
      <c r="K829" t="n">
        <v>0</v>
      </c>
      <c r="L829" t="n">
        <v>0</v>
      </c>
      <c r="M829" t="n">
        <v>0</v>
      </c>
      <c r="N829" t="n">
        <v>0</v>
      </c>
      <c r="O829" t="n">
        <v>0</v>
      </c>
      <c r="P829" t="n">
        <v>0</v>
      </c>
      <c r="Q829" t="n">
        <v>0</v>
      </c>
      <c r="R829" s="2" t="inlineStr"/>
    </row>
    <row r="830" ht="15" customHeight="1">
      <c r="A830" t="inlineStr">
        <is>
          <t>A 59736-2023</t>
        </is>
      </c>
      <c r="B830" s="1" t="n">
        <v>45257</v>
      </c>
      <c r="C830" s="1" t="n">
        <v>45564</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59749-2023</t>
        </is>
      </c>
      <c r="B831" s="1" t="n">
        <v>45257</v>
      </c>
      <c r="C831" s="1" t="n">
        <v>45564</v>
      </c>
      <c r="D831" t="inlineStr">
        <is>
          <t>ÖREBRO LÄN</t>
        </is>
      </c>
      <c r="E831" t="inlineStr">
        <is>
          <t>ÖREBRO</t>
        </is>
      </c>
      <c r="G831" t="n">
        <v>5</v>
      </c>
      <c r="H831" t="n">
        <v>0</v>
      </c>
      <c r="I831" t="n">
        <v>0</v>
      </c>
      <c r="J831" t="n">
        <v>0</v>
      </c>
      <c r="K831" t="n">
        <v>0</v>
      </c>
      <c r="L831" t="n">
        <v>0</v>
      </c>
      <c r="M831" t="n">
        <v>0</v>
      </c>
      <c r="N831" t="n">
        <v>0</v>
      </c>
      <c r="O831" t="n">
        <v>0</v>
      </c>
      <c r="P831" t="n">
        <v>0</v>
      </c>
      <c r="Q831" t="n">
        <v>0</v>
      </c>
      <c r="R831" s="2" t="inlineStr"/>
    </row>
    <row r="832" ht="15" customHeight="1">
      <c r="A832" t="inlineStr">
        <is>
          <t>A 59873-2023</t>
        </is>
      </c>
      <c r="B832" s="1" t="n">
        <v>45257</v>
      </c>
      <c r="C832" s="1" t="n">
        <v>45564</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59757-2023</t>
        </is>
      </c>
      <c r="B833" s="1" t="n">
        <v>45257</v>
      </c>
      <c r="C833" s="1" t="n">
        <v>45564</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60289-2023</t>
        </is>
      </c>
      <c r="B834" s="1" t="n">
        <v>45257</v>
      </c>
      <c r="C834" s="1" t="n">
        <v>45564</v>
      </c>
      <c r="D834" t="inlineStr">
        <is>
          <t>ÖREBRO LÄN</t>
        </is>
      </c>
      <c r="E834" t="inlineStr">
        <is>
          <t>ÖREBRO</t>
        </is>
      </c>
      <c r="G834" t="n">
        <v>10.9</v>
      </c>
      <c r="H834" t="n">
        <v>0</v>
      </c>
      <c r="I834" t="n">
        <v>0</v>
      </c>
      <c r="J834" t="n">
        <v>0</v>
      </c>
      <c r="K834" t="n">
        <v>0</v>
      </c>
      <c r="L834" t="n">
        <v>0</v>
      </c>
      <c r="M834" t="n">
        <v>0</v>
      </c>
      <c r="N834" t="n">
        <v>0</v>
      </c>
      <c r="O834" t="n">
        <v>0</v>
      </c>
      <c r="P834" t="n">
        <v>0</v>
      </c>
      <c r="Q834" t="n">
        <v>0</v>
      </c>
      <c r="R834" s="2" t="inlineStr"/>
    </row>
    <row r="835" ht="15" customHeight="1">
      <c r="A835" t="inlineStr">
        <is>
          <t>A 60126-2023</t>
        </is>
      </c>
      <c r="B835" s="1" t="n">
        <v>45258</v>
      </c>
      <c r="C835" s="1" t="n">
        <v>45564</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60059-2023</t>
        </is>
      </c>
      <c r="B836" s="1" t="n">
        <v>45258</v>
      </c>
      <c r="C836" s="1" t="n">
        <v>45564</v>
      </c>
      <c r="D836" t="inlineStr">
        <is>
          <t>ÖREBRO LÄN</t>
        </is>
      </c>
      <c r="E836" t="inlineStr">
        <is>
          <t>ÖREBRO</t>
        </is>
      </c>
      <c r="G836" t="n">
        <v>4</v>
      </c>
      <c r="H836" t="n">
        <v>0</v>
      </c>
      <c r="I836" t="n">
        <v>0</v>
      </c>
      <c r="J836" t="n">
        <v>0</v>
      </c>
      <c r="K836" t="n">
        <v>0</v>
      </c>
      <c r="L836" t="n">
        <v>0</v>
      </c>
      <c r="M836" t="n">
        <v>0</v>
      </c>
      <c r="N836" t="n">
        <v>0</v>
      </c>
      <c r="O836" t="n">
        <v>0</v>
      </c>
      <c r="P836" t="n">
        <v>0</v>
      </c>
      <c r="Q836" t="n">
        <v>0</v>
      </c>
      <c r="R836" s="2" t="inlineStr"/>
    </row>
    <row r="837" ht="15" customHeight="1">
      <c r="A837" t="inlineStr">
        <is>
          <t>A 60128-2023</t>
        </is>
      </c>
      <c r="B837" s="1" t="n">
        <v>45258</v>
      </c>
      <c r="C837" s="1" t="n">
        <v>45564</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60312-2023</t>
        </is>
      </c>
      <c r="B838" s="1" t="n">
        <v>45258</v>
      </c>
      <c r="C838" s="1" t="n">
        <v>45564</v>
      </c>
      <c r="D838" t="inlineStr">
        <is>
          <t>ÖREBRO LÄN</t>
        </is>
      </c>
      <c r="E838" t="inlineStr">
        <is>
          <t>ÖREBRO</t>
        </is>
      </c>
      <c r="G838" t="n">
        <v>2</v>
      </c>
      <c r="H838" t="n">
        <v>0</v>
      </c>
      <c r="I838" t="n">
        <v>0</v>
      </c>
      <c r="J838" t="n">
        <v>0</v>
      </c>
      <c r="K838" t="n">
        <v>0</v>
      </c>
      <c r="L838" t="n">
        <v>0</v>
      </c>
      <c r="M838" t="n">
        <v>0</v>
      </c>
      <c r="N838" t="n">
        <v>0</v>
      </c>
      <c r="O838" t="n">
        <v>0</v>
      </c>
      <c r="P838" t="n">
        <v>0</v>
      </c>
      <c r="Q838" t="n">
        <v>0</v>
      </c>
      <c r="R838" s="2" t="inlineStr"/>
    </row>
    <row r="839" ht="15" customHeight="1">
      <c r="A839" t="inlineStr">
        <is>
          <t>A 60352-2023</t>
        </is>
      </c>
      <c r="B839" s="1" t="n">
        <v>45258</v>
      </c>
      <c r="C839" s="1" t="n">
        <v>45564</v>
      </c>
      <c r="D839" t="inlineStr">
        <is>
          <t>ÖREBRO LÄN</t>
        </is>
      </c>
      <c r="E839" t="inlineStr">
        <is>
          <t>ÖREBRO</t>
        </is>
      </c>
      <c r="G839" t="n">
        <v>13.7</v>
      </c>
      <c r="H839" t="n">
        <v>0</v>
      </c>
      <c r="I839" t="n">
        <v>0</v>
      </c>
      <c r="J839" t="n">
        <v>0</v>
      </c>
      <c r="K839" t="n">
        <v>0</v>
      </c>
      <c r="L839" t="n">
        <v>0</v>
      </c>
      <c r="M839" t="n">
        <v>0</v>
      </c>
      <c r="N839" t="n">
        <v>0</v>
      </c>
      <c r="O839" t="n">
        <v>0</v>
      </c>
      <c r="P839" t="n">
        <v>0</v>
      </c>
      <c r="Q839" t="n">
        <v>0</v>
      </c>
      <c r="R839" s="2" t="inlineStr"/>
    </row>
    <row r="840" ht="15" customHeight="1">
      <c r="A840" t="inlineStr">
        <is>
          <t>A 61593-2023</t>
        </is>
      </c>
      <c r="B840" s="1" t="n">
        <v>45265</v>
      </c>
      <c r="C840" s="1" t="n">
        <v>45564</v>
      </c>
      <c r="D840" t="inlineStr">
        <is>
          <t>ÖREBRO LÄN</t>
        </is>
      </c>
      <c r="E840" t="inlineStr">
        <is>
          <t>ÖREBRO</t>
        </is>
      </c>
      <c r="G840" t="n">
        <v>2.5</v>
      </c>
      <c r="H840" t="n">
        <v>0</v>
      </c>
      <c r="I840" t="n">
        <v>0</v>
      </c>
      <c r="J840" t="n">
        <v>0</v>
      </c>
      <c r="K840" t="n">
        <v>0</v>
      </c>
      <c r="L840" t="n">
        <v>0</v>
      </c>
      <c r="M840" t="n">
        <v>0</v>
      </c>
      <c r="N840" t="n">
        <v>0</v>
      </c>
      <c r="O840" t="n">
        <v>0</v>
      </c>
      <c r="P840" t="n">
        <v>0</v>
      </c>
      <c r="Q840" t="n">
        <v>0</v>
      </c>
      <c r="R840" s="2" t="inlineStr"/>
    </row>
    <row r="841" ht="15" customHeight="1">
      <c r="A841" t="inlineStr">
        <is>
          <t>A 62511-2023</t>
        </is>
      </c>
      <c r="B841" s="1" t="n">
        <v>45268</v>
      </c>
      <c r="C841" s="1" t="n">
        <v>45564</v>
      </c>
      <c r="D841" t="inlineStr">
        <is>
          <t>ÖREBRO LÄN</t>
        </is>
      </c>
      <c r="E841" t="inlineStr">
        <is>
          <t>ÖREBRO</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62497-2023</t>
        </is>
      </c>
      <c r="B842" s="1" t="n">
        <v>45268</v>
      </c>
      <c r="C842" s="1" t="n">
        <v>45564</v>
      </c>
      <c r="D842" t="inlineStr">
        <is>
          <t>ÖREBRO LÄN</t>
        </is>
      </c>
      <c r="E842" t="inlineStr">
        <is>
          <t>ÖREBRO</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62995-2023</t>
        </is>
      </c>
      <c r="B843" s="1" t="n">
        <v>45272</v>
      </c>
      <c r="C843" s="1" t="n">
        <v>45564</v>
      </c>
      <c r="D843" t="inlineStr">
        <is>
          <t>ÖREBRO LÄN</t>
        </is>
      </c>
      <c r="E843" t="inlineStr">
        <is>
          <t>ÖREBRO</t>
        </is>
      </c>
      <c r="G843" t="n">
        <v>2.6</v>
      </c>
      <c r="H843" t="n">
        <v>0</v>
      </c>
      <c r="I843" t="n">
        <v>0</v>
      </c>
      <c r="J843" t="n">
        <v>0</v>
      </c>
      <c r="K843" t="n">
        <v>0</v>
      </c>
      <c r="L843" t="n">
        <v>0</v>
      </c>
      <c r="M843" t="n">
        <v>0</v>
      </c>
      <c r="N843" t="n">
        <v>0</v>
      </c>
      <c r="O843" t="n">
        <v>0</v>
      </c>
      <c r="P843" t="n">
        <v>0</v>
      </c>
      <c r="Q843" t="n">
        <v>0</v>
      </c>
      <c r="R843" s="2" t="inlineStr"/>
    </row>
    <row r="844" ht="15" customHeight="1">
      <c r="A844" t="inlineStr">
        <is>
          <t>A 63142-2023</t>
        </is>
      </c>
      <c r="B844" s="1" t="n">
        <v>45273</v>
      </c>
      <c r="C844" s="1" t="n">
        <v>45564</v>
      </c>
      <c r="D844" t="inlineStr">
        <is>
          <t>ÖREBRO LÄN</t>
        </is>
      </c>
      <c r="E844" t="inlineStr">
        <is>
          <t>ÖREBRO</t>
        </is>
      </c>
      <c r="G844" t="n">
        <v>1.8</v>
      </c>
      <c r="H844" t="n">
        <v>0</v>
      </c>
      <c r="I844" t="n">
        <v>0</v>
      </c>
      <c r="J844" t="n">
        <v>0</v>
      </c>
      <c r="K844" t="n">
        <v>0</v>
      </c>
      <c r="L844" t="n">
        <v>0</v>
      </c>
      <c r="M844" t="n">
        <v>0</v>
      </c>
      <c r="N844" t="n">
        <v>0</v>
      </c>
      <c r="O844" t="n">
        <v>0</v>
      </c>
      <c r="P844" t="n">
        <v>0</v>
      </c>
      <c r="Q844" t="n">
        <v>0</v>
      </c>
      <c r="R844" s="2" t="inlineStr"/>
    </row>
    <row r="845" ht="15" customHeight="1">
      <c r="A845" t="inlineStr">
        <is>
          <t>A 63342-2023</t>
        </is>
      </c>
      <c r="B845" s="1" t="n">
        <v>45274</v>
      </c>
      <c r="C845" s="1" t="n">
        <v>45564</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64611-2023</t>
        </is>
      </c>
      <c r="B846" s="1" t="n">
        <v>45281</v>
      </c>
      <c r="C846" s="1" t="n">
        <v>45564</v>
      </c>
      <c r="D846" t="inlineStr">
        <is>
          <t>ÖREBRO LÄN</t>
        </is>
      </c>
      <c r="E846" t="inlineStr">
        <is>
          <t>ÖREBRO</t>
        </is>
      </c>
      <c r="G846" t="n">
        <v>9.4</v>
      </c>
      <c r="H846" t="n">
        <v>0</v>
      </c>
      <c r="I846" t="n">
        <v>0</v>
      </c>
      <c r="J846" t="n">
        <v>0</v>
      </c>
      <c r="K846" t="n">
        <v>0</v>
      </c>
      <c r="L846" t="n">
        <v>0</v>
      </c>
      <c r="M846" t="n">
        <v>0</v>
      </c>
      <c r="N846" t="n">
        <v>0</v>
      </c>
      <c r="O846" t="n">
        <v>0</v>
      </c>
      <c r="P846" t="n">
        <v>0</v>
      </c>
      <c r="Q846" t="n">
        <v>0</v>
      </c>
      <c r="R846" s="2" t="inlineStr"/>
    </row>
    <row r="847" ht="15" customHeight="1">
      <c r="A847" t="inlineStr">
        <is>
          <t>A 64730-2023</t>
        </is>
      </c>
      <c r="B847" s="1" t="n">
        <v>45281</v>
      </c>
      <c r="C847" s="1" t="n">
        <v>45564</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64968-2023</t>
        </is>
      </c>
      <c r="B848" s="1" t="n">
        <v>45283</v>
      </c>
      <c r="C848" s="1" t="n">
        <v>45564</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65025-2023</t>
        </is>
      </c>
      <c r="B849" s="1" t="n">
        <v>45287</v>
      </c>
      <c r="C849" s="1" t="n">
        <v>45564</v>
      </c>
      <c r="D849" t="inlineStr">
        <is>
          <t>ÖREBRO LÄN</t>
        </is>
      </c>
      <c r="E849" t="inlineStr">
        <is>
          <t>ÖREBRO</t>
        </is>
      </c>
      <c r="G849" t="n">
        <v>8.9</v>
      </c>
      <c r="H849" t="n">
        <v>0</v>
      </c>
      <c r="I849" t="n">
        <v>0</v>
      </c>
      <c r="J849" t="n">
        <v>0</v>
      </c>
      <c r="K849" t="n">
        <v>0</v>
      </c>
      <c r="L849" t="n">
        <v>0</v>
      </c>
      <c r="M849" t="n">
        <v>0</v>
      </c>
      <c r="N849" t="n">
        <v>0</v>
      </c>
      <c r="O849" t="n">
        <v>0</v>
      </c>
      <c r="P849" t="n">
        <v>0</v>
      </c>
      <c r="Q849" t="n">
        <v>0</v>
      </c>
      <c r="R849" s="2" t="inlineStr"/>
    </row>
    <row r="850" ht="15" customHeight="1">
      <c r="A850" t="inlineStr">
        <is>
          <t>A 65257-2023</t>
        </is>
      </c>
      <c r="B850" s="1" t="n">
        <v>45290</v>
      </c>
      <c r="C850" s="1" t="n">
        <v>45564</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65256-2023</t>
        </is>
      </c>
      <c r="B851" s="1" t="n">
        <v>45290</v>
      </c>
      <c r="C851" s="1" t="n">
        <v>45564</v>
      </c>
      <c r="D851" t="inlineStr">
        <is>
          <t>ÖREBRO LÄN</t>
        </is>
      </c>
      <c r="E851" t="inlineStr">
        <is>
          <t>ÖREBRO</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3-2024</t>
        </is>
      </c>
      <c r="B852" s="1" t="n">
        <v>45292</v>
      </c>
      <c r="C852" s="1" t="n">
        <v>45564</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187-2024</t>
        </is>
      </c>
      <c r="B853" s="1" t="n">
        <v>45294</v>
      </c>
      <c r="C853" s="1" t="n">
        <v>45564</v>
      </c>
      <c r="D853" t="inlineStr">
        <is>
          <t>ÖREBRO LÄN</t>
        </is>
      </c>
      <c r="E853" t="inlineStr">
        <is>
          <t>ÖREBRO</t>
        </is>
      </c>
      <c r="G853" t="n">
        <v>5.9</v>
      </c>
      <c r="H853" t="n">
        <v>0</v>
      </c>
      <c r="I853" t="n">
        <v>0</v>
      </c>
      <c r="J853" t="n">
        <v>0</v>
      </c>
      <c r="K853" t="n">
        <v>0</v>
      </c>
      <c r="L853" t="n">
        <v>0</v>
      </c>
      <c r="M853" t="n">
        <v>0</v>
      </c>
      <c r="N853" t="n">
        <v>0</v>
      </c>
      <c r="O853" t="n">
        <v>0</v>
      </c>
      <c r="P853" t="n">
        <v>0</v>
      </c>
      <c r="Q853" t="n">
        <v>0</v>
      </c>
      <c r="R853" s="2" t="inlineStr"/>
    </row>
    <row r="854" ht="15" customHeight="1">
      <c r="A854" t="inlineStr">
        <is>
          <t>A 190-2024</t>
        </is>
      </c>
      <c r="B854" s="1" t="n">
        <v>45294</v>
      </c>
      <c r="C854" s="1" t="n">
        <v>45564</v>
      </c>
      <c r="D854" t="inlineStr">
        <is>
          <t>ÖREBRO LÄN</t>
        </is>
      </c>
      <c r="E854" t="inlineStr">
        <is>
          <t>ÖREBRO</t>
        </is>
      </c>
      <c r="G854" t="n">
        <v>2.4</v>
      </c>
      <c r="H854" t="n">
        <v>0</v>
      </c>
      <c r="I854" t="n">
        <v>0</v>
      </c>
      <c r="J854" t="n">
        <v>0</v>
      </c>
      <c r="K854" t="n">
        <v>0</v>
      </c>
      <c r="L854" t="n">
        <v>0</v>
      </c>
      <c r="M854" t="n">
        <v>0</v>
      </c>
      <c r="N854" t="n">
        <v>0</v>
      </c>
      <c r="O854" t="n">
        <v>0</v>
      </c>
      <c r="P854" t="n">
        <v>0</v>
      </c>
      <c r="Q854" t="n">
        <v>0</v>
      </c>
      <c r="R854" s="2" t="inlineStr"/>
    </row>
    <row r="855" ht="15" customHeight="1">
      <c r="A855" t="inlineStr">
        <is>
          <t>A 681-2024</t>
        </is>
      </c>
      <c r="B855" s="1" t="n">
        <v>45300</v>
      </c>
      <c r="C855" s="1" t="n">
        <v>45564</v>
      </c>
      <c r="D855" t="inlineStr">
        <is>
          <t>ÖREBRO LÄN</t>
        </is>
      </c>
      <c r="E855" t="inlineStr">
        <is>
          <t>ÖREBRO</t>
        </is>
      </c>
      <c r="G855" t="n">
        <v>3.3</v>
      </c>
      <c r="H855" t="n">
        <v>0</v>
      </c>
      <c r="I855" t="n">
        <v>0</v>
      </c>
      <c r="J855" t="n">
        <v>0</v>
      </c>
      <c r="K855" t="n">
        <v>0</v>
      </c>
      <c r="L855" t="n">
        <v>0</v>
      </c>
      <c r="M855" t="n">
        <v>0</v>
      </c>
      <c r="N855" t="n">
        <v>0</v>
      </c>
      <c r="O855" t="n">
        <v>0</v>
      </c>
      <c r="P855" t="n">
        <v>0</v>
      </c>
      <c r="Q855" t="n">
        <v>0</v>
      </c>
      <c r="R855" s="2" t="inlineStr"/>
    </row>
    <row r="856" ht="15" customHeight="1">
      <c r="A856" t="inlineStr">
        <is>
          <t>A 767-2024</t>
        </is>
      </c>
      <c r="B856" s="1" t="n">
        <v>45300</v>
      </c>
      <c r="C856" s="1" t="n">
        <v>45564</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764-2024</t>
        </is>
      </c>
      <c r="B857" s="1" t="n">
        <v>45300</v>
      </c>
      <c r="C857" s="1" t="n">
        <v>45564</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1013-2024</t>
        </is>
      </c>
      <c r="B858" s="1" t="n">
        <v>45301</v>
      </c>
      <c r="C858" s="1" t="n">
        <v>45564</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1014-2024</t>
        </is>
      </c>
      <c r="B859" s="1" t="n">
        <v>45301</v>
      </c>
      <c r="C859" s="1" t="n">
        <v>45564</v>
      </c>
      <c r="D859" t="inlineStr">
        <is>
          <t>ÖREBRO LÄN</t>
        </is>
      </c>
      <c r="E859" t="inlineStr">
        <is>
          <t>ÖREBRO</t>
        </is>
      </c>
      <c r="G859" t="n">
        <v>1.4</v>
      </c>
      <c r="H859" t="n">
        <v>0</v>
      </c>
      <c r="I859" t="n">
        <v>0</v>
      </c>
      <c r="J859" t="n">
        <v>0</v>
      </c>
      <c r="K859" t="n">
        <v>0</v>
      </c>
      <c r="L859" t="n">
        <v>0</v>
      </c>
      <c r="M859" t="n">
        <v>0</v>
      </c>
      <c r="N859" t="n">
        <v>0</v>
      </c>
      <c r="O859" t="n">
        <v>0</v>
      </c>
      <c r="P859" t="n">
        <v>0</v>
      </c>
      <c r="Q859" t="n">
        <v>0</v>
      </c>
      <c r="R859" s="2" t="inlineStr"/>
    </row>
    <row r="860" ht="15" customHeight="1">
      <c r="A860" t="inlineStr">
        <is>
          <t>A 1262-2024</t>
        </is>
      </c>
      <c r="B860" s="1" t="n">
        <v>45302</v>
      </c>
      <c r="C860" s="1" t="n">
        <v>45564</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1261-2024</t>
        </is>
      </c>
      <c r="B861" s="1" t="n">
        <v>45302</v>
      </c>
      <c r="C861" s="1" t="n">
        <v>45564</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1260-2024</t>
        </is>
      </c>
      <c r="B862" s="1" t="n">
        <v>45302</v>
      </c>
      <c r="C862" s="1" t="n">
        <v>45564</v>
      </c>
      <c r="D862" t="inlineStr">
        <is>
          <t>ÖREBRO LÄN</t>
        </is>
      </c>
      <c r="E862" t="inlineStr">
        <is>
          <t>ÖREBRO</t>
        </is>
      </c>
      <c r="G862" t="n">
        <v>0.9</v>
      </c>
      <c r="H862" t="n">
        <v>0</v>
      </c>
      <c r="I862" t="n">
        <v>0</v>
      </c>
      <c r="J862" t="n">
        <v>0</v>
      </c>
      <c r="K862" t="n">
        <v>0</v>
      </c>
      <c r="L862" t="n">
        <v>0</v>
      </c>
      <c r="M862" t="n">
        <v>0</v>
      </c>
      <c r="N862" t="n">
        <v>0</v>
      </c>
      <c r="O862" t="n">
        <v>0</v>
      </c>
      <c r="P862" t="n">
        <v>0</v>
      </c>
      <c r="Q862" t="n">
        <v>0</v>
      </c>
      <c r="R862" s="2" t="inlineStr"/>
    </row>
    <row r="863" ht="15" customHeight="1">
      <c r="A863" t="inlineStr">
        <is>
          <t>A 1647-2024</t>
        </is>
      </c>
      <c r="B863" s="1" t="n">
        <v>45306</v>
      </c>
      <c r="C863" s="1" t="n">
        <v>45564</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1800-2024</t>
        </is>
      </c>
      <c r="B864" s="1" t="n">
        <v>45307</v>
      </c>
      <c r="C864" s="1" t="n">
        <v>45564</v>
      </c>
      <c r="D864" t="inlineStr">
        <is>
          <t>ÖREBRO LÄN</t>
        </is>
      </c>
      <c r="E864" t="inlineStr">
        <is>
          <t>ÖREBRO</t>
        </is>
      </c>
      <c r="G864" t="n">
        <v>1.5</v>
      </c>
      <c r="H864" t="n">
        <v>0</v>
      </c>
      <c r="I864" t="n">
        <v>0</v>
      </c>
      <c r="J864" t="n">
        <v>0</v>
      </c>
      <c r="K864" t="n">
        <v>0</v>
      </c>
      <c r="L864" t="n">
        <v>0</v>
      </c>
      <c r="M864" t="n">
        <v>0</v>
      </c>
      <c r="N864" t="n">
        <v>0</v>
      </c>
      <c r="O864" t="n">
        <v>0</v>
      </c>
      <c r="P864" t="n">
        <v>0</v>
      </c>
      <c r="Q864" t="n">
        <v>0</v>
      </c>
      <c r="R864" s="2" t="inlineStr"/>
    </row>
    <row r="865" ht="15" customHeight="1">
      <c r="A865" t="inlineStr">
        <is>
          <t>A 3767-2024</t>
        </is>
      </c>
      <c r="B865" s="1" t="n">
        <v>45321</v>
      </c>
      <c r="C865" s="1" t="n">
        <v>45564</v>
      </c>
      <c r="D865" t="inlineStr">
        <is>
          <t>ÖREBRO LÄN</t>
        </is>
      </c>
      <c r="E865" t="inlineStr">
        <is>
          <t>ÖREBRO</t>
        </is>
      </c>
      <c r="G865" t="n">
        <v>5.2</v>
      </c>
      <c r="H865" t="n">
        <v>0</v>
      </c>
      <c r="I865" t="n">
        <v>0</v>
      </c>
      <c r="J865" t="n">
        <v>0</v>
      </c>
      <c r="K865" t="n">
        <v>0</v>
      </c>
      <c r="L865" t="n">
        <v>0</v>
      </c>
      <c r="M865" t="n">
        <v>0</v>
      </c>
      <c r="N865" t="n">
        <v>0</v>
      </c>
      <c r="O865" t="n">
        <v>0</v>
      </c>
      <c r="P865" t="n">
        <v>0</v>
      </c>
      <c r="Q865" t="n">
        <v>0</v>
      </c>
      <c r="R865" s="2" t="inlineStr"/>
    </row>
    <row r="866" ht="15" customHeight="1">
      <c r="A866" t="inlineStr">
        <is>
          <t>A 3891-2024</t>
        </is>
      </c>
      <c r="B866" s="1" t="n">
        <v>45322</v>
      </c>
      <c r="C866" s="1" t="n">
        <v>45564</v>
      </c>
      <c r="D866" t="inlineStr">
        <is>
          <t>ÖREBRO LÄN</t>
        </is>
      </c>
      <c r="E866" t="inlineStr">
        <is>
          <t>ÖREBRO</t>
        </is>
      </c>
      <c r="F866" t="inlineStr">
        <is>
          <t>Övriga Aktiebolag</t>
        </is>
      </c>
      <c r="G866" t="n">
        <v>5.3</v>
      </c>
      <c r="H866" t="n">
        <v>0</v>
      </c>
      <c r="I866" t="n">
        <v>0</v>
      </c>
      <c r="J866" t="n">
        <v>0</v>
      </c>
      <c r="K866" t="n">
        <v>0</v>
      </c>
      <c r="L866" t="n">
        <v>0</v>
      </c>
      <c r="M866" t="n">
        <v>0</v>
      </c>
      <c r="N866" t="n">
        <v>0</v>
      </c>
      <c r="O866" t="n">
        <v>0</v>
      </c>
      <c r="P866" t="n">
        <v>0</v>
      </c>
      <c r="Q866" t="n">
        <v>0</v>
      </c>
      <c r="R866" s="2" t="inlineStr"/>
    </row>
    <row r="867" ht="15" customHeight="1">
      <c r="A867" t="inlineStr">
        <is>
          <t>A 4757-2024</t>
        </is>
      </c>
      <c r="B867" s="1" t="n">
        <v>45328</v>
      </c>
      <c r="C867" s="1" t="n">
        <v>45564</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5127-2024</t>
        </is>
      </c>
      <c r="B868" s="1" t="n">
        <v>45330</v>
      </c>
      <c r="C868" s="1" t="n">
        <v>45564</v>
      </c>
      <c r="D868" t="inlineStr">
        <is>
          <t>ÖREBRO LÄN</t>
        </is>
      </c>
      <c r="E868" t="inlineStr">
        <is>
          <t>ÖREBRO</t>
        </is>
      </c>
      <c r="G868" t="n">
        <v>2.2</v>
      </c>
      <c r="H868" t="n">
        <v>0</v>
      </c>
      <c r="I868" t="n">
        <v>0</v>
      </c>
      <c r="J868" t="n">
        <v>0</v>
      </c>
      <c r="K868" t="n">
        <v>0</v>
      </c>
      <c r="L868" t="n">
        <v>0</v>
      </c>
      <c r="M868" t="n">
        <v>0</v>
      </c>
      <c r="N868" t="n">
        <v>0</v>
      </c>
      <c r="O868" t="n">
        <v>0</v>
      </c>
      <c r="P868" t="n">
        <v>0</v>
      </c>
      <c r="Q868" t="n">
        <v>0</v>
      </c>
      <c r="R868" s="2" t="inlineStr"/>
    </row>
    <row r="869" ht="15" customHeight="1">
      <c r="A869" t="inlineStr">
        <is>
          <t>A 5135-2024</t>
        </is>
      </c>
      <c r="B869" s="1" t="n">
        <v>45330</v>
      </c>
      <c r="C869" s="1" t="n">
        <v>45564</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5136-2024</t>
        </is>
      </c>
      <c r="B870" s="1" t="n">
        <v>45330</v>
      </c>
      <c r="C870" s="1" t="n">
        <v>45564</v>
      </c>
      <c r="D870" t="inlineStr">
        <is>
          <t>ÖREBRO LÄN</t>
        </is>
      </c>
      <c r="E870" t="inlineStr">
        <is>
          <t>ÖREBRO</t>
        </is>
      </c>
      <c r="G870" t="n">
        <v>2.1</v>
      </c>
      <c r="H870" t="n">
        <v>0</v>
      </c>
      <c r="I870" t="n">
        <v>0</v>
      </c>
      <c r="J870" t="n">
        <v>0</v>
      </c>
      <c r="K870" t="n">
        <v>0</v>
      </c>
      <c r="L870" t="n">
        <v>0</v>
      </c>
      <c r="M870" t="n">
        <v>0</v>
      </c>
      <c r="N870" t="n">
        <v>0</v>
      </c>
      <c r="O870" t="n">
        <v>0</v>
      </c>
      <c r="P870" t="n">
        <v>0</v>
      </c>
      <c r="Q870" t="n">
        <v>0</v>
      </c>
      <c r="R870" s="2" t="inlineStr"/>
    </row>
    <row r="871" ht="15" customHeight="1">
      <c r="A871" t="inlineStr">
        <is>
          <t>A 5113-2024</t>
        </is>
      </c>
      <c r="B871" s="1" t="n">
        <v>45330</v>
      </c>
      <c r="C871" s="1" t="n">
        <v>45564</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5125-2024</t>
        </is>
      </c>
      <c r="B872" s="1" t="n">
        <v>45330</v>
      </c>
      <c r="C872" s="1" t="n">
        <v>45564</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5129-2024</t>
        </is>
      </c>
      <c r="B873" s="1" t="n">
        <v>45330</v>
      </c>
      <c r="C873" s="1" t="n">
        <v>45564</v>
      </c>
      <c r="D873" t="inlineStr">
        <is>
          <t>ÖREBRO LÄN</t>
        </is>
      </c>
      <c r="E873" t="inlineStr">
        <is>
          <t>ÖREBRO</t>
        </is>
      </c>
      <c r="G873" t="n">
        <v>0.5</v>
      </c>
      <c r="H873" t="n">
        <v>0</v>
      </c>
      <c r="I873" t="n">
        <v>0</v>
      </c>
      <c r="J873" t="n">
        <v>0</v>
      </c>
      <c r="K873" t="n">
        <v>0</v>
      </c>
      <c r="L873" t="n">
        <v>0</v>
      </c>
      <c r="M873" t="n">
        <v>0</v>
      </c>
      <c r="N873" t="n">
        <v>0</v>
      </c>
      <c r="O873" t="n">
        <v>0</v>
      </c>
      <c r="P873" t="n">
        <v>0</v>
      </c>
      <c r="Q873" t="n">
        <v>0</v>
      </c>
      <c r="R873" s="2" t="inlineStr"/>
    </row>
    <row r="874" ht="15" customHeight="1">
      <c r="A874" t="inlineStr">
        <is>
          <t>A 5133-2024</t>
        </is>
      </c>
      <c r="B874" s="1" t="n">
        <v>45330</v>
      </c>
      <c r="C874" s="1" t="n">
        <v>45564</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5324-2024</t>
        </is>
      </c>
      <c r="B875" s="1" t="n">
        <v>45331</v>
      </c>
      <c r="C875" s="1" t="n">
        <v>45564</v>
      </c>
      <c r="D875" t="inlineStr">
        <is>
          <t>ÖREBRO LÄN</t>
        </is>
      </c>
      <c r="E875" t="inlineStr">
        <is>
          <t>ÖREBRO</t>
        </is>
      </c>
      <c r="G875" t="n">
        <v>1.5</v>
      </c>
      <c r="H875" t="n">
        <v>0</v>
      </c>
      <c r="I875" t="n">
        <v>0</v>
      </c>
      <c r="J875" t="n">
        <v>0</v>
      </c>
      <c r="K875" t="n">
        <v>0</v>
      </c>
      <c r="L875" t="n">
        <v>0</v>
      </c>
      <c r="M875" t="n">
        <v>0</v>
      </c>
      <c r="N875" t="n">
        <v>0</v>
      </c>
      <c r="O875" t="n">
        <v>0</v>
      </c>
      <c r="P875" t="n">
        <v>0</v>
      </c>
      <c r="Q875" t="n">
        <v>0</v>
      </c>
      <c r="R875" s="2" t="inlineStr"/>
    </row>
    <row r="876" ht="15" customHeight="1">
      <c r="A876" t="inlineStr">
        <is>
          <t>A 5342-2024</t>
        </is>
      </c>
      <c r="B876" s="1" t="n">
        <v>45331</v>
      </c>
      <c r="C876" s="1" t="n">
        <v>45564</v>
      </c>
      <c r="D876" t="inlineStr">
        <is>
          <t>ÖREBRO LÄN</t>
        </is>
      </c>
      <c r="E876" t="inlineStr">
        <is>
          <t>ÖREBRO</t>
        </is>
      </c>
      <c r="G876" t="n">
        <v>2.5</v>
      </c>
      <c r="H876" t="n">
        <v>0</v>
      </c>
      <c r="I876" t="n">
        <v>0</v>
      </c>
      <c r="J876" t="n">
        <v>0</v>
      </c>
      <c r="K876" t="n">
        <v>0</v>
      </c>
      <c r="L876" t="n">
        <v>0</v>
      </c>
      <c r="M876" t="n">
        <v>0</v>
      </c>
      <c r="N876" t="n">
        <v>0</v>
      </c>
      <c r="O876" t="n">
        <v>0</v>
      </c>
      <c r="P876" t="n">
        <v>0</v>
      </c>
      <c r="Q876" t="n">
        <v>0</v>
      </c>
      <c r="R876" s="2" t="inlineStr"/>
    </row>
    <row r="877" ht="15" customHeight="1">
      <c r="A877" t="inlineStr">
        <is>
          <t>A 5352-2024</t>
        </is>
      </c>
      <c r="B877" s="1" t="n">
        <v>45331</v>
      </c>
      <c r="C877" s="1" t="n">
        <v>45564</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5330-2024</t>
        </is>
      </c>
      <c r="B878" s="1" t="n">
        <v>45331</v>
      </c>
      <c r="C878" s="1" t="n">
        <v>45564</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5338-2024</t>
        </is>
      </c>
      <c r="B879" s="1" t="n">
        <v>45331</v>
      </c>
      <c r="C879" s="1" t="n">
        <v>45564</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5357-2024</t>
        </is>
      </c>
      <c r="B880" s="1" t="n">
        <v>45331</v>
      </c>
      <c r="C880" s="1" t="n">
        <v>45564</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5578-2024</t>
        </is>
      </c>
      <c r="B881" s="1" t="n">
        <v>45334</v>
      </c>
      <c r="C881" s="1" t="n">
        <v>45564</v>
      </c>
      <c r="D881" t="inlineStr">
        <is>
          <t>ÖREBRO LÄN</t>
        </is>
      </c>
      <c r="E881" t="inlineStr">
        <is>
          <t>ÖREBRO</t>
        </is>
      </c>
      <c r="G881" t="n">
        <v>2.4</v>
      </c>
      <c r="H881" t="n">
        <v>0</v>
      </c>
      <c r="I881" t="n">
        <v>0</v>
      </c>
      <c r="J881" t="n">
        <v>0</v>
      </c>
      <c r="K881" t="n">
        <v>0</v>
      </c>
      <c r="L881" t="n">
        <v>0</v>
      </c>
      <c r="M881" t="n">
        <v>0</v>
      </c>
      <c r="N881" t="n">
        <v>0</v>
      </c>
      <c r="O881" t="n">
        <v>0</v>
      </c>
      <c r="P881" t="n">
        <v>0</v>
      </c>
      <c r="Q881" t="n">
        <v>0</v>
      </c>
      <c r="R881" s="2" t="inlineStr"/>
    </row>
    <row r="882" ht="15" customHeight="1">
      <c r="A882" t="inlineStr">
        <is>
          <t>A 5795-2024</t>
        </is>
      </c>
      <c r="B882" s="1" t="n">
        <v>45335</v>
      </c>
      <c r="C882" s="1" t="n">
        <v>45564</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6586-2024</t>
        </is>
      </c>
      <c r="B883" s="1" t="n">
        <v>45341</v>
      </c>
      <c r="C883" s="1" t="n">
        <v>45564</v>
      </c>
      <c r="D883" t="inlineStr">
        <is>
          <t>ÖREBRO LÄN</t>
        </is>
      </c>
      <c r="E883" t="inlineStr">
        <is>
          <t>ÖREBRO</t>
        </is>
      </c>
      <c r="F883" t="inlineStr">
        <is>
          <t>Övriga Aktiebolag</t>
        </is>
      </c>
      <c r="G883" t="n">
        <v>6.9</v>
      </c>
      <c r="H883" t="n">
        <v>0</v>
      </c>
      <c r="I883" t="n">
        <v>0</v>
      </c>
      <c r="J883" t="n">
        <v>0</v>
      </c>
      <c r="K883" t="n">
        <v>0</v>
      </c>
      <c r="L883" t="n">
        <v>0</v>
      </c>
      <c r="M883" t="n">
        <v>0</v>
      </c>
      <c r="N883" t="n">
        <v>0</v>
      </c>
      <c r="O883" t="n">
        <v>0</v>
      </c>
      <c r="P883" t="n">
        <v>0</v>
      </c>
      <c r="Q883" t="n">
        <v>0</v>
      </c>
      <c r="R883" s="2" t="inlineStr"/>
    </row>
    <row r="884" ht="15" customHeight="1">
      <c r="A884" t="inlineStr">
        <is>
          <t>A 6592-2024</t>
        </is>
      </c>
      <c r="B884" s="1" t="n">
        <v>45341</v>
      </c>
      <c r="C884" s="1" t="n">
        <v>45564</v>
      </c>
      <c r="D884" t="inlineStr">
        <is>
          <t>ÖREBRO LÄN</t>
        </is>
      </c>
      <c r="E884" t="inlineStr">
        <is>
          <t>ÖREBRO</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6879-2024</t>
        </is>
      </c>
      <c r="B885" s="1" t="n">
        <v>45342</v>
      </c>
      <c r="C885" s="1" t="n">
        <v>45564</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7609-2024</t>
        </is>
      </c>
      <c r="B886" s="1" t="n">
        <v>45348</v>
      </c>
      <c r="C886" s="1" t="n">
        <v>45564</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7634-2024</t>
        </is>
      </c>
      <c r="B887" s="1" t="n">
        <v>45348</v>
      </c>
      <c r="C887" s="1" t="n">
        <v>45564</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7611-2024</t>
        </is>
      </c>
      <c r="B888" s="1" t="n">
        <v>45348</v>
      </c>
      <c r="C888" s="1" t="n">
        <v>45564</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8005-2024</t>
        </is>
      </c>
      <c r="B889" s="1" t="n">
        <v>45350</v>
      </c>
      <c r="C889" s="1" t="n">
        <v>45564</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8008-2024</t>
        </is>
      </c>
      <c r="B890" s="1" t="n">
        <v>45350</v>
      </c>
      <c r="C890" s="1" t="n">
        <v>45564</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9379-2024</t>
        </is>
      </c>
      <c r="B891" s="1" t="n">
        <v>45359</v>
      </c>
      <c r="C891" s="1" t="n">
        <v>45564</v>
      </c>
      <c r="D891" t="inlineStr">
        <is>
          <t>ÖREBRO LÄN</t>
        </is>
      </c>
      <c r="E891" t="inlineStr">
        <is>
          <t>ÖREBRO</t>
        </is>
      </c>
      <c r="G891" t="n">
        <v>2.4</v>
      </c>
      <c r="H891" t="n">
        <v>0</v>
      </c>
      <c r="I891" t="n">
        <v>0</v>
      </c>
      <c r="J891" t="n">
        <v>0</v>
      </c>
      <c r="K891" t="n">
        <v>0</v>
      </c>
      <c r="L891" t="n">
        <v>0</v>
      </c>
      <c r="M891" t="n">
        <v>0</v>
      </c>
      <c r="N891" t="n">
        <v>0</v>
      </c>
      <c r="O891" t="n">
        <v>0</v>
      </c>
      <c r="P891" t="n">
        <v>0</v>
      </c>
      <c r="Q891" t="n">
        <v>0</v>
      </c>
      <c r="R891" s="2" t="inlineStr"/>
    </row>
    <row r="892" ht="15" customHeight="1">
      <c r="A892" t="inlineStr">
        <is>
          <t>A 9458-2024</t>
        </is>
      </c>
      <c r="B892" s="1" t="n">
        <v>45359</v>
      </c>
      <c r="C892" s="1" t="n">
        <v>45564</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9670-2024</t>
        </is>
      </c>
      <c r="B893" s="1" t="n">
        <v>45362</v>
      </c>
      <c r="C893" s="1" t="n">
        <v>45564</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9677-2024</t>
        </is>
      </c>
      <c r="B894" s="1" t="n">
        <v>45362</v>
      </c>
      <c r="C894" s="1" t="n">
        <v>45564</v>
      </c>
      <c r="D894" t="inlineStr">
        <is>
          <t>ÖREBRO LÄN</t>
        </is>
      </c>
      <c r="E894" t="inlineStr">
        <is>
          <t>ÖREBRO</t>
        </is>
      </c>
      <c r="G894" t="n">
        <v>1</v>
      </c>
      <c r="H894" t="n">
        <v>0</v>
      </c>
      <c r="I894" t="n">
        <v>0</v>
      </c>
      <c r="J894" t="n">
        <v>0</v>
      </c>
      <c r="K894" t="n">
        <v>0</v>
      </c>
      <c r="L894" t="n">
        <v>0</v>
      </c>
      <c r="M894" t="n">
        <v>0</v>
      </c>
      <c r="N894" t="n">
        <v>0</v>
      </c>
      <c r="O894" t="n">
        <v>0</v>
      </c>
      <c r="P894" t="n">
        <v>0</v>
      </c>
      <c r="Q894" t="n">
        <v>0</v>
      </c>
      <c r="R894" s="2" t="inlineStr"/>
    </row>
    <row r="895" ht="15" customHeight="1">
      <c r="A895" t="inlineStr">
        <is>
          <t>A 10291-2024</t>
        </is>
      </c>
      <c r="B895" s="1" t="n">
        <v>45365</v>
      </c>
      <c r="C895" s="1" t="n">
        <v>45564</v>
      </c>
      <c r="D895" t="inlineStr">
        <is>
          <t>ÖREBRO LÄN</t>
        </is>
      </c>
      <c r="E895" t="inlineStr">
        <is>
          <t>ÖREBRO</t>
        </is>
      </c>
      <c r="G895" t="n">
        <v>0.8</v>
      </c>
      <c r="H895" t="n">
        <v>0</v>
      </c>
      <c r="I895" t="n">
        <v>0</v>
      </c>
      <c r="J895" t="n">
        <v>0</v>
      </c>
      <c r="K895" t="n">
        <v>0</v>
      </c>
      <c r="L895" t="n">
        <v>0</v>
      </c>
      <c r="M895" t="n">
        <v>0</v>
      </c>
      <c r="N895" t="n">
        <v>0</v>
      </c>
      <c r="O895" t="n">
        <v>0</v>
      </c>
      <c r="P895" t="n">
        <v>0</v>
      </c>
      <c r="Q895" t="n">
        <v>0</v>
      </c>
      <c r="R895" s="2" t="inlineStr"/>
    </row>
    <row r="896" ht="15" customHeight="1">
      <c r="A896" t="inlineStr">
        <is>
          <t>A 10544-2024</t>
        </is>
      </c>
      <c r="B896" s="1" t="n">
        <v>45366</v>
      </c>
      <c r="C896" s="1" t="n">
        <v>45564</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10799-2024</t>
        </is>
      </c>
      <c r="B897" s="1" t="n">
        <v>45369</v>
      </c>
      <c r="C897" s="1" t="n">
        <v>45564</v>
      </c>
      <c r="D897" t="inlineStr">
        <is>
          <t>ÖREBRO LÄN</t>
        </is>
      </c>
      <c r="E897" t="inlineStr">
        <is>
          <t>ÖREBRO</t>
        </is>
      </c>
      <c r="G897" t="n">
        <v>5.8</v>
      </c>
      <c r="H897" t="n">
        <v>0</v>
      </c>
      <c r="I897" t="n">
        <v>0</v>
      </c>
      <c r="J897" t="n">
        <v>0</v>
      </c>
      <c r="K897" t="n">
        <v>0</v>
      </c>
      <c r="L897" t="n">
        <v>0</v>
      </c>
      <c r="M897" t="n">
        <v>0</v>
      </c>
      <c r="N897" t="n">
        <v>0</v>
      </c>
      <c r="O897" t="n">
        <v>0</v>
      </c>
      <c r="P897" t="n">
        <v>0</v>
      </c>
      <c r="Q897" t="n">
        <v>0</v>
      </c>
      <c r="R897" s="2" t="inlineStr"/>
    </row>
    <row r="898" ht="15" customHeight="1">
      <c r="A898" t="inlineStr">
        <is>
          <t>A 10937-2024</t>
        </is>
      </c>
      <c r="B898" s="1" t="n">
        <v>45370</v>
      </c>
      <c r="C898" s="1" t="n">
        <v>45564</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11516-2024</t>
        </is>
      </c>
      <c r="B899" s="1" t="n">
        <v>45372</v>
      </c>
      <c r="C899" s="1" t="n">
        <v>45564</v>
      </c>
      <c r="D899" t="inlineStr">
        <is>
          <t>ÖREBRO LÄN</t>
        </is>
      </c>
      <c r="E899" t="inlineStr">
        <is>
          <t>ÖREBRO</t>
        </is>
      </c>
      <c r="G899" t="n">
        <v>10.7</v>
      </c>
      <c r="H899" t="n">
        <v>0</v>
      </c>
      <c r="I899" t="n">
        <v>0</v>
      </c>
      <c r="J899" t="n">
        <v>0</v>
      </c>
      <c r="K899" t="n">
        <v>0</v>
      </c>
      <c r="L899" t="n">
        <v>0</v>
      </c>
      <c r="M899" t="n">
        <v>0</v>
      </c>
      <c r="N899" t="n">
        <v>0</v>
      </c>
      <c r="O899" t="n">
        <v>0</v>
      </c>
      <c r="P899" t="n">
        <v>0</v>
      </c>
      <c r="Q899" t="n">
        <v>0</v>
      </c>
      <c r="R899" s="2" t="inlineStr"/>
    </row>
    <row r="900" ht="15" customHeight="1">
      <c r="A900" t="inlineStr">
        <is>
          <t>A 11663-2024</t>
        </is>
      </c>
      <c r="B900" s="1" t="n">
        <v>45373</v>
      </c>
      <c r="C900" s="1" t="n">
        <v>45564</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11940-2024</t>
        </is>
      </c>
      <c r="B901" s="1" t="n">
        <v>45376</v>
      </c>
      <c r="C901" s="1" t="n">
        <v>45564</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12017-2024</t>
        </is>
      </c>
      <c r="B902" s="1" t="n">
        <v>45377</v>
      </c>
      <c r="C902" s="1" t="n">
        <v>45564</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13169-2024</t>
        </is>
      </c>
      <c r="B903" s="1" t="n">
        <v>45386</v>
      </c>
      <c r="C903" s="1" t="n">
        <v>45564</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13321-2024</t>
        </is>
      </c>
      <c r="B904" s="1" t="n">
        <v>45386</v>
      </c>
      <c r="C904" s="1" t="n">
        <v>45564</v>
      </c>
      <c r="D904" t="inlineStr">
        <is>
          <t>ÖREBRO LÄN</t>
        </is>
      </c>
      <c r="E904" t="inlineStr">
        <is>
          <t>ÖREBRO</t>
        </is>
      </c>
      <c r="G904" t="n">
        <v>13.1</v>
      </c>
      <c r="H904" t="n">
        <v>0</v>
      </c>
      <c r="I904" t="n">
        <v>0</v>
      </c>
      <c r="J904" t="n">
        <v>0</v>
      </c>
      <c r="K904" t="n">
        <v>0</v>
      </c>
      <c r="L904" t="n">
        <v>0</v>
      </c>
      <c r="M904" t="n">
        <v>0</v>
      </c>
      <c r="N904" t="n">
        <v>0</v>
      </c>
      <c r="O904" t="n">
        <v>0</v>
      </c>
      <c r="P904" t="n">
        <v>0</v>
      </c>
      <c r="Q904" t="n">
        <v>0</v>
      </c>
      <c r="R904" s="2" t="inlineStr"/>
    </row>
    <row r="905" ht="15" customHeight="1">
      <c r="A905" t="inlineStr">
        <is>
          <t>A 13158-2024</t>
        </is>
      </c>
      <c r="B905" s="1" t="n">
        <v>45386</v>
      </c>
      <c r="C905" s="1" t="n">
        <v>45564</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13453-2024</t>
        </is>
      </c>
      <c r="B906" s="1" t="n">
        <v>45387</v>
      </c>
      <c r="C906" s="1" t="n">
        <v>45564</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13418-2024</t>
        </is>
      </c>
      <c r="B907" s="1" t="n">
        <v>45387</v>
      </c>
      <c r="C907" s="1" t="n">
        <v>45564</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13395-2024</t>
        </is>
      </c>
      <c r="B908" s="1" t="n">
        <v>45387</v>
      </c>
      <c r="C908" s="1" t="n">
        <v>45564</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13458-2024</t>
        </is>
      </c>
      <c r="B909" s="1" t="n">
        <v>45387</v>
      </c>
      <c r="C909" s="1" t="n">
        <v>45564</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13625-2024</t>
        </is>
      </c>
      <c r="B910" s="1" t="n">
        <v>45390</v>
      </c>
      <c r="C910" s="1" t="n">
        <v>45564</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13623-2024</t>
        </is>
      </c>
      <c r="B911" s="1" t="n">
        <v>45390</v>
      </c>
      <c r="C911" s="1" t="n">
        <v>45564</v>
      </c>
      <c r="D911" t="inlineStr">
        <is>
          <t>ÖREBRO LÄN</t>
        </is>
      </c>
      <c r="E911" t="inlineStr">
        <is>
          <t>ÖREBRO</t>
        </is>
      </c>
      <c r="G911" t="n">
        <v>1.1</v>
      </c>
      <c r="H911" t="n">
        <v>0</v>
      </c>
      <c r="I911" t="n">
        <v>0</v>
      </c>
      <c r="J911" t="n">
        <v>0</v>
      </c>
      <c r="K911" t="n">
        <v>0</v>
      </c>
      <c r="L911" t="n">
        <v>0</v>
      </c>
      <c r="M911" t="n">
        <v>0</v>
      </c>
      <c r="N911" t="n">
        <v>0</v>
      </c>
      <c r="O911" t="n">
        <v>0</v>
      </c>
      <c r="P911" t="n">
        <v>0</v>
      </c>
      <c r="Q911" t="n">
        <v>0</v>
      </c>
      <c r="R911" s="2" t="inlineStr"/>
    </row>
    <row r="912" ht="15" customHeight="1">
      <c r="A912" t="inlineStr">
        <is>
          <t>A 13700-2024</t>
        </is>
      </c>
      <c r="B912" s="1" t="n">
        <v>45390</v>
      </c>
      <c r="C912" s="1" t="n">
        <v>45564</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14173-2024</t>
        </is>
      </c>
      <c r="B913" s="1" t="n">
        <v>45393</v>
      </c>
      <c r="C913" s="1" t="n">
        <v>45564</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14234-2024</t>
        </is>
      </c>
      <c r="B914" s="1" t="n">
        <v>45393</v>
      </c>
      <c r="C914" s="1" t="n">
        <v>45564</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14279-2024</t>
        </is>
      </c>
      <c r="B915" s="1" t="n">
        <v>45393</v>
      </c>
      <c r="C915" s="1" t="n">
        <v>45564</v>
      </c>
      <c r="D915" t="inlineStr">
        <is>
          <t>ÖREBRO LÄN</t>
        </is>
      </c>
      <c r="E915" t="inlineStr">
        <is>
          <t>ÖREBRO</t>
        </is>
      </c>
      <c r="G915" t="n">
        <v>2.6</v>
      </c>
      <c r="H915" t="n">
        <v>0</v>
      </c>
      <c r="I915" t="n">
        <v>0</v>
      </c>
      <c r="J915" t="n">
        <v>0</v>
      </c>
      <c r="K915" t="n">
        <v>0</v>
      </c>
      <c r="L915" t="n">
        <v>0</v>
      </c>
      <c r="M915" t="n">
        <v>0</v>
      </c>
      <c r="N915" t="n">
        <v>0</v>
      </c>
      <c r="O915" t="n">
        <v>0</v>
      </c>
      <c r="P915" t="n">
        <v>0</v>
      </c>
      <c r="Q915" t="n">
        <v>0</v>
      </c>
      <c r="R915" s="2" t="inlineStr"/>
    </row>
    <row r="916" ht="15" customHeight="1">
      <c r="A916" t="inlineStr">
        <is>
          <t>A 14717-2024</t>
        </is>
      </c>
      <c r="B916" s="1" t="n">
        <v>45397</v>
      </c>
      <c r="C916" s="1" t="n">
        <v>45564</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14715-2024</t>
        </is>
      </c>
      <c r="B917" s="1" t="n">
        <v>45397</v>
      </c>
      <c r="C917" s="1" t="n">
        <v>45564</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15354-2024</t>
        </is>
      </c>
      <c r="B918" s="1" t="n">
        <v>45400</v>
      </c>
      <c r="C918" s="1" t="n">
        <v>45564</v>
      </c>
      <c r="D918" t="inlineStr">
        <is>
          <t>ÖREBRO LÄN</t>
        </is>
      </c>
      <c r="E918" t="inlineStr">
        <is>
          <t>ÖREBRO</t>
        </is>
      </c>
      <c r="G918" t="n">
        <v>0.7</v>
      </c>
      <c r="H918" t="n">
        <v>0</v>
      </c>
      <c r="I918" t="n">
        <v>0</v>
      </c>
      <c r="J918" t="n">
        <v>0</v>
      </c>
      <c r="K918" t="n">
        <v>0</v>
      </c>
      <c r="L918" t="n">
        <v>0</v>
      </c>
      <c r="M918" t="n">
        <v>0</v>
      </c>
      <c r="N918" t="n">
        <v>0</v>
      </c>
      <c r="O918" t="n">
        <v>0</v>
      </c>
      <c r="P918" t="n">
        <v>0</v>
      </c>
      <c r="Q918" t="n">
        <v>0</v>
      </c>
      <c r="R918" s="2" t="inlineStr"/>
    </row>
    <row r="919" ht="15" customHeight="1">
      <c r="A919" t="inlineStr">
        <is>
          <t>A 15698-2024</t>
        </is>
      </c>
      <c r="B919" s="1" t="n">
        <v>45404</v>
      </c>
      <c r="C919" s="1" t="n">
        <v>45564</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15689-2024</t>
        </is>
      </c>
      <c r="B920" s="1" t="n">
        <v>45404</v>
      </c>
      <c r="C920" s="1" t="n">
        <v>45564</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15693-2024</t>
        </is>
      </c>
      <c r="B921" s="1" t="n">
        <v>45404</v>
      </c>
      <c r="C921" s="1" t="n">
        <v>45564</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15695-2024</t>
        </is>
      </c>
      <c r="B922" s="1" t="n">
        <v>45404</v>
      </c>
      <c r="C922" s="1" t="n">
        <v>45564</v>
      </c>
      <c r="D922" t="inlineStr">
        <is>
          <t>ÖREBRO LÄN</t>
        </is>
      </c>
      <c r="E922" t="inlineStr">
        <is>
          <t>ÖREBRO</t>
        </is>
      </c>
      <c r="G922" t="n">
        <v>2.7</v>
      </c>
      <c r="H922" t="n">
        <v>0</v>
      </c>
      <c r="I922" t="n">
        <v>0</v>
      </c>
      <c r="J922" t="n">
        <v>0</v>
      </c>
      <c r="K922" t="n">
        <v>0</v>
      </c>
      <c r="L922" t="n">
        <v>0</v>
      </c>
      <c r="M922" t="n">
        <v>0</v>
      </c>
      <c r="N922" t="n">
        <v>0</v>
      </c>
      <c r="O922" t="n">
        <v>0</v>
      </c>
      <c r="P922" t="n">
        <v>0</v>
      </c>
      <c r="Q922" t="n">
        <v>0</v>
      </c>
      <c r="R922" s="2" t="inlineStr"/>
    </row>
    <row r="923" ht="15" customHeight="1">
      <c r="A923" t="inlineStr">
        <is>
          <t>A 17103-2024</t>
        </is>
      </c>
      <c r="B923" s="1" t="n">
        <v>45412</v>
      </c>
      <c r="C923" s="1" t="n">
        <v>45564</v>
      </c>
      <c r="D923" t="inlineStr">
        <is>
          <t>ÖREBRO LÄN</t>
        </is>
      </c>
      <c r="E923" t="inlineStr">
        <is>
          <t>ÖREBRO</t>
        </is>
      </c>
      <c r="G923" t="n">
        <v>5</v>
      </c>
      <c r="H923" t="n">
        <v>0</v>
      </c>
      <c r="I923" t="n">
        <v>0</v>
      </c>
      <c r="J923" t="n">
        <v>0</v>
      </c>
      <c r="K923" t="n">
        <v>0</v>
      </c>
      <c r="L923" t="n">
        <v>0</v>
      </c>
      <c r="M923" t="n">
        <v>0</v>
      </c>
      <c r="N923" t="n">
        <v>0</v>
      </c>
      <c r="O923" t="n">
        <v>0</v>
      </c>
      <c r="P923" t="n">
        <v>0</v>
      </c>
      <c r="Q923" t="n">
        <v>0</v>
      </c>
      <c r="R923" s="2" t="inlineStr"/>
    </row>
    <row r="924" ht="15" customHeight="1">
      <c r="A924" t="inlineStr">
        <is>
          <t>A 17014-2024</t>
        </is>
      </c>
      <c r="B924" s="1" t="n">
        <v>45412</v>
      </c>
      <c r="C924" s="1" t="n">
        <v>45564</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17680-2024</t>
        </is>
      </c>
      <c r="B925" s="1" t="n">
        <v>45418</v>
      </c>
      <c r="C925" s="1" t="n">
        <v>45564</v>
      </c>
      <c r="D925" t="inlineStr">
        <is>
          <t>ÖREBRO LÄN</t>
        </is>
      </c>
      <c r="E925" t="inlineStr">
        <is>
          <t>ÖREBRO</t>
        </is>
      </c>
      <c r="G925" t="n">
        <v>5.1</v>
      </c>
      <c r="H925" t="n">
        <v>0</v>
      </c>
      <c r="I925" t="n">
        <v>0</v>
      </c>
      <c r="J925" t="n">
        <v>0</v>
      </c>
      <c r="K925" t="n">
        <v>0</v>
      </c>
      <c r="L925" t="n">
        <v>0</v>
      </c>
      <c r="M925" t="n">
        <v>0</v>
      </c>
      <c r="N925" t="n">
        <v>0</v>
      </c>
      <c r="O925" t="n">
        <v>0</v>
      </c>
      <c r="P925" t="n">
        <v>0</v>
      </c>
      <c r="Q925" t="n">
        <v>0</v>
      </c>
      <c r="R925" s="2" t="inlineStr"/>
    </row>
    <row r="926" ht="15" customHeight="1">
      <c r="A926" t="inlineStr">
        <is>
          <t>A 17869-2024</t>
        </is>
      </c>
      <c r="B926" s="1" t="n">
        <v>45419</v>
      </c>
      <c r="C926" s="1" t="n">
        <v>45564</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17863-2024</t>
        </is>
      </c>
      <c r="B927" s="1" t="n">
        <v>45419</v>
      </c>
      <c r="C927" s="1" t="n">
        <v>45564</v>
      </c>
      <c r="D927" t="inlineStr">
        <is>
          <t>ÖREBRO LÄN</t>
        </is>
      </c>
      <c r="E927" t="inlineStr">
        <is>
          <t>ÖREBRO</t>
        </is>
      </c>
      <c r="G927" t="n">
        <v>2.1</v>
      </c>
      <c r="H927" t="n">
        <v>0</v>
      </c>
      <c r="I927" t="n">
        <v>0</v>
      </c>
      <c r="J927" t="n">
        <v>0</v>
      </c>
      <c r="K927" t="n">
        <v>0</v>
      </c>
      <c r="L927" t="n">
        <v>0</v>
      </c>
      <c r="M927" t="n">
        <v>0</v>
      </c>
      <c r="N927" t="n">
        <v>0</v>
      </c>
      <c r="O927" t="n">
        <v>0</v>
      </c>
      <c r="P927" t="n">
        <v>0</v>
      </c>
      <c r="Q927" t="n">
        <v>0</v>
      </c>
      <c r="R927" s="2" t="inlineStr"/>
    </row>
    <row r="928" ht="15" customHeight="1">
      <c r="A928" t="inlineStr">
        <is>
          <t>A 18181-2024</t>
        </is>
      </c>
      <c r="B928" s="1" t="n">
        <v>45420</v>
      </c>
      <c r="C928" s="1" t="n">
        <v>45564</v>
      </c>
      <c r="D928" t="inlineStr">
        <is>
          <t>ÖREBRO LÄN</t>
        </is>
      </c>
      <c r="E928" t="inlineStr">
        <is>
          <t>ÖREBRO</t>
        </is>
      </c>
      <c r="G928" t="n">
        <v>7.6</v>
      </c>
      <c r="H928" t="n">
        <v>0</v>
      </c>
      <c r="I928" t="n">
        <v>0</v>
      </c>
      <c r="J928" t="n">
        <v>0</v>
      </c>
      <c r="K928" t="n">
        <v>0</v>
      </c>
      <c r="L928" t="n">
        <v>0</v>
      </c>
      <c r="M928" t="n">
        <v>0</v>
      </c>
      <c r="N928" t="n">
        <v>0</v>
      </c>
      <c r="O928" t="n">
        <v>0</v>
      </c>
      <c r="P928" t="n">
        <v>0</v>
      </c>
      <c r="Q928" t="n">
        <v>0</v>
      </c>
      <c r="R928" s="2" t="inlineStr"/>
    </row>
    <row r="929" ht="15" customHeight="1">
      <c r="A929" t="inlineStr">
        <is>
          <t>A 18360-2024</t>
        </is>
      </c>
      <c r="B929" s="1" t="n">
        <v>45422</v>
      </c>
      <c r="C929" s="1" t="n">
        <v>45564</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19306-2024</t>
        </is>
      </c>
      <c r="B930" s="1" t="n">
        <v>45428</v>
      </c>
      <c r="C930" s="1" t="n">
        <v>45564</v>
      </c>
      <c r="D930" t="inlineStr">
        <is>
          <t>ÖREBRO LÄN</t>
        </is>
      </c>
      <c r="E930" t="inlineStr">
        <is>
          <t>ÖREBRO</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19388-2024</t>
        </is>
      </c>
      <c r="B931" s="1" t="n">
        <v>45429</v>
      </c>
      <c r="C931" s="1" t="n">
        <v>45564</v>
      </c>
      <c r="D931" t="inlineStr">
        <is>
          <t>ÖREBRO LÄN</t>
        </is>
      </c>
      <c r="E931" t="inlineStr">
        <is>
          <t>ÖREBRO</t>
        </is>
      </c>
      <c r="G931" t="n">
        <v>4.3</v>
      </c>
      <c r="H931" t="n">
        <v>0</v>
      </c>
      <c r="I931" t="n">
        <v>0</v>
      </c>
      <c r="J931" t="n">
        <v>0</v>
      </c>
      <c r="K931" t="n">
        <v>0</v>
      </c>
      <c r="L931" t="n">
        <v>0</v>
      </c>
      <c r="M931" t="n">
        <v>0</v>
      </c>
      <c r="N931" t="n">
        <v>0</v>
      </c>
      <c r="O931" t="n">
        <v>0</v>
      </c>
      <c r="P931" t="n">
        <v>0</v>
      </c>
      <c r="Q931" t="n">
        <v>0</v>
      </c>
      <c r="R931" s="2" t="inlineStr"/>
    </row>
    <row r="932" ht="15" customHeight="1">
      <c r="A932" t="inlineStr">
        <is>
          <t>A 19392-2024</t>
        </is>
      </c>
      <c r="B932" s="1" t="n">
        <v>45429</v>
      </c>
      <c r="C932" s="1" t="n">
        <v>45564</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19384-2024</t>
        </is>
      </c>
      <c r="B933" s="1" t="n">
        <v>45429</v>
      </c>
      <c r="C933" s="1" t="n">
        <v>45564</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19763-2024</t>
        </is>
      </c>
      <c r="B934" s="1" t="n">
        <v>45432</v>
      </c>
      <c r="C934" s="1" t="n">
        <v>45564</v>
      </c>
      <c r="D934" t="inlineStr">
        <is>
          <t>ÖREBRO LÄN</t>
        </is>
      </c>
      <c r="E934" t="inlineStr">
        <is>
          <t>ÖREBRO</t>
        </is>
      </c>
      <c r="G934" t="n">
        <v>1.9</v>
      </c>
      <c r="H934" t="n">
        <v>0</v>
      </c>
      <c r="I934" t="n">
        <v>0</v>
      </c>
      <c r="J934" t="n">
        <v>0</v>
      </c>
      <c r="K934" t="n">
        <v>0</v>
      </c>
      <c r="L934" t="n">
        <v>0</v>
      </c>
      <c r="M934" t="n">
        <v>0</v>
      </c>
      <c r="N934" t="n">
        <v>0</v>
      </c>
      <c r="O934" t="n">
        <v>0</v>
      </c>
      <c r="P934" t="n">
        <v>0</v>
      </c>
      <c r="Q934" t="n">
        <v>0</v>
      </c>
      <c r="R934" s="2" t="inlineStr"/>
    </row>
    <row r="935" ht="15" customHeight="1">
      <c r="A935" t="inlineStr">
        <is>
          <t>A 20115-2024</t>
        </is>
      </c>
      <c r="B935" s="1" t="n">
        <v>45434</v>
      </c>
      <c r="C935" s="1" t="n">
        <v>45564</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20146-2024</t>
        </is>
      </c>
      <c r="B936" s="1" t="n">
        <v>45434</v>
      </c>
      <c r="C936" s="1" t="n">
        <v>45564</v>
      </c>
      <c r="D936" t="inlineStr">
        <is>
          <t>ÖREBRO LÄN</t>
        </is>
      </c>
      <c r="E936" t="inlineStr">
        <is>
          <t>ÖREBRO</t>
        </is>
      </c>
      <c r="G936" t="n">
        <v>0.5</v>
      </c>
      <c r="H936" t="n">
        <v>0</v>
      </c>
      <c r="I936" t="n">
        <v>0</v>
      </c>
      <c r="J936" t="n">
        <v>0</v>
      </c>
      <c r="K936" t="n">
        <v>0</v>
      </c>
      <c r="L936" t="n">
        <v>0</v>
      </c>
      <c r="M936" t="n">
        <v>0</v>
      </c>
      <c r="N936" t="n">
        <v>0</v>
      </c>
      <c r="O936" t="n">
        <v>0</v>
      </c>
      <c r="P936" t="n">
        <v>0</v>
      </c>
      <c r="Q936" t="n">
        <v>0</v>
      </c>
      <c r="R936" s="2" t="inlineStr"/>
    </row>
    <row r="937" ht="15" customHeight="1">
      <c r="A937" t="inlineStr">
        <is>
          <t>A 20150-2024</t>
        </is>
      </c>
      <c r="B937" s="1" t="n">
        <v>45434</v>
      </c>
      <c r="C937" s="1" t="n">
        <v>45564</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20121-2024</t>
        </is>
      </c>
      <c r="B938" s="1" t="n">
        <v>45434</v>
      </c>
      <c r="C938" s="1" t="n">
        <v>45564</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20589-2024</t>
        </is>
      </c>
      <c r="B939" s="1" t="n">
        <v>45436</v>
      </c>
      <c r="C939" s="1" t="n">
        <v>45564</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21052-2024</t>
        </is>
      </c>
      <c r="B940" s="1" t="n">
        <v>45439</v>
      </c>
      <c r="C940" s="1" t="n">
        <v>45564</v>
      </c>
      <c r="D940" t="inlineStr">
        <is>
          <t>ÖREBRO LÄN</t>
        </is>
      </c>
      <c r="E940" t="inlineStr">
        <is>
          <t>ÖREBRO</t>
        </is>
      </c>
      <c r="F940" t="inlineStr">
        <is>
          <t>Övriga Aktiebolag</t>
        </is>
      </c>
      <c r="G940" t="n">
        <v>2.9</v>
      </c>
      <c r="H940" t="n">
        <v>0</v>
      </c>
      <c r="I940" t="n">
        <v>0</v>
      </c>
      <c r="J940" t="n">
        <v>0</v>
      </c>
      <c r="K940" t="n">
        <v>0</v>
      </c>
      <c r="L940" t="n">
        <v>0</v>
      </c>
      <c r="M940" t="n">
        <v>0</v>
      </c>
      <c r="N940" t="n">
        <v>0</v>
      </c>
      <c r="O940" t="n">
        <v>0</v>
      </c>
      <c r="P940" t="n">
        <v>0</v>
      </c>
      <c r="Q940" t="n">
        <v>0</v>
      </c>
      <c r="R940" s="2" t="inlineStr"/>
    </row>
    <row r="941" ht="15" customHeight="1">
      <c r="A941" t="inlineStr">
        <is>
          <t>A 21056-2024</t>
        </is>
      </c>
      <c r="B941" s="1" t="n">
        <v>45439</v>
      </c>
      <c r="C941" s="1" t="n">
        <v>45564</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21036-2024</t>
        </is>
      </c>
      <c r="B942" s="1" t="n">
        <v>45439</v>
      </c>
      <c r="C942" s="1" t="n">
        <v>45564</v>
      </c>
      <c r="D942" t="inlineStr">
        <is>
          <t>ÖREBRO LÄN</t>
        </is>
      </c>
      <c r="E942" t="inlineStr">
        <is>
          <t>ÖREBRO</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21277-2024</t>
        </is>
      </c>
      <c r="B943" s="1" t="n">
        <v>45440</v>
      </c>
      <c r="C943" s="1" t="n">
        <v>45564</v>
      </c>
      <c r="D943" t="inlineStr">
        <is>
          <t>ÖREBRO LÄN</t>
        </is>
      </c>
      <c r="E943" t="inlineStr">
        <is>
          <t>ÖREBRO</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21306-2024</t>
        </is>
      </c>
      <c r="B944" s="1" t="n">
        <v>45440</v>
      </c>
      <c r="C944" s="1" t="n">
        <v>45564</v>
      </c>
      <c r="D944" t="inlineStr">
        <is>
          <t>ÖREBRO LÄN</t>
        </is>
      </c>
      <c r="E944" t="inlineStr">
        <is>
          <t>ÖREBRO</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21422-2024</t>
        </is>
      </c>
      <c r="B945" s="1" t="n">
        <v>45441</v>
      </c>
      <c r="C945" s="1" t="n">
        <v>45564</v>
      </c>
      <c r="D945" t="inlineStr">
        <is>
          <t>ÖREBRO LÄN</t>
        </is>
      </c>
      <c r="E945" t="inlineStr">
        <is>
          <t>ÖREBRO</t>
        </is>
      </c>
      <c r="G945" t="n">
        <v>0.6</v>
      </c>
      <c r="H945" t="n">
        <v>0</v>
      </c>
      <c r="I945" t="n">
        <v>0</v>
      </c>
      <c r="J945" t="n">
        <v>0</v>
      </c>
      <c r="K945" t="n">
        <v>0</v>
      </c>
      <c r="L945" t="n">
        <v>0</v>
      </c>
      <c r="M945" t="n">
        <v>0</v>
      </c>
      <c r="N945" t="n">
        <v>0</v>
      </c>
      <c r="O945" t="n">
        <v>0</v>
      </c>
      <c r="P945" t="n">
        <v>0</v>
      </c>
      <c r="Q945" t="n">
        <v>0</v>
      </c>
      <c r="R945" s="2" t="inlineStr"/>
    </row>
    <row r="946" ht="15" customHeight="1">
      <c r="A946" t="inlineStr">
        <is>
          <t>A 21588-2024</t>
        </is>
      </c>
      <c r="B946" s="1" t="n">
        <v>45441</v>
      </c>
      <c r="C946" s="1" t="n">
        <v>45564</v>
      </c>
      <c r="D946" t="inlineStr">
        <is>
          <t>ÖREBRO LÄN</t>
        </is>
      </c>
      <c r="E946" t="inlineStr">
        <is>
          <t>ÖREBRO</t>
        </is>
      </c>
      <c r="G946" t="n">
        <v>8.1</v>
      </c>
      <c r="H946" t="n">
        <v>0</v>
      </c>
      <c r="I946" t="n">
        <v>0</v>
      </c>
      <c r="J946" t="n">
        <v>0</v>
      </c>
      <c r="K946" t="n">
        <v>0</v>
      </c>
      <c r="L946" t="n">
        <v>0</v>
      </c>
      <c r="M946" t="n">
        <v>0</v>
      </c>
      <c r="N946" t="n">
        <v>0</v>
      </c>
      <c r="O946" t="n">
        <v>0</v>
      </c>
      <c r="P946" t="n">
        <v>0</v>
      </c>
      <c r="Q946" t="n">
        <v>0</v>
      </c>
      <c r="R946" s="2" t="inlineStr"/>
    </row>
    <row r="947" ht="15" customHeight="1">
      <c r="A947" t="inlineStr">
        <is>
          <t>A 21800-2024</t>
        </is>
      </c>
      <c r="B947" s="1" t="n">
        <v>45442</v>
      </c>
      <c r="C947" s="1" t="n">
        <v>45564</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22045-2024</t>
        </is>
      </c>
      <c r="B948" s="1" t="n">
        <v>45443</v>
      </c>
      <c r="C948" s="1" t="n">
        <v>45564</v>
      </c>
      <c r="D948" t="inlineStr">
        <is>
          <t>ÖREBRO LÄN</t>
        </is>
      </c>
      <c r="E948" t="inlineStr">
        <is>
          <t>ÖREBRO</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22061-2024</t>
        </is>
      </c>
      <c r="B949" s="1" t="n">
        <v>45443</v>
      </c>
      <c r="C949" s="1" t="n">
        <v>45564</v>
      </c>
      <c r="D949" t="inlineStr">
        <is>
          <t>ÖREBRO LÄN</t>
        </is>
      </c>
      <c r="E949" t="inlineStr">
        <is>
          <t>ÖREBRO</t>
        </is>
      </c>
      <c r="G949" t="n">
        <v>3.5</v>
      </c>
      <c r="H949" t="n">
        <v>0</v>
      </c>
      <c r="I949" t="n">
        <v>0</v>
      </c>
      <c r="J949" t="n">
        <v>0</v>
      </c>
      <c r="K949" t="n">
        <v>0</v>
      </c>
      <c r="L949" t="n">
        <v>0</v>
      </c>
      <c r="M949" t="n">
        <v>0</v>
      </c>
      <c r="N949" t="n">
        <v>0</v>
      </c>
      <c r="O949" t="n">
        <v>0</v>
      </c>
      <c r="P949" t="n">
        <v>0</v>
      </c>
      <c r="Q949" t="n">
        <v>0</v>
      </c>
      <c r="R949" s="2" t="inlineStr"/>
    </row>
    <row r="950" ht="15" customHeight="1">
      <c r="A950" t="inlineStr">
        <is>
          <t>A 22351-2024</t>
        </is>
      </c>
      <c r="B950" s="1" t="n">
        <v>45446</v>
      </c>
      <c r="C950" s="1" t="n">
        <v>45564</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22348-2024</t>
        </is>
      </c>
      <c r="B951" s="1" t="n">
        <v>45446</v>
      </c>
      <c r="C951" s="1" t="n">
        <v>45564</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22510-2024</t>
        </is>
      </c>
      <c r="B952" s="1" t="n">
        <v>45447</v>
      </c>
      <c r="C952" s="1" t="n">
        <v>45564</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22557-2024</t>
        </is>
      </c>
      <c r="B953" s="1" t="n">
        <v>45447</v>
      </c>
      <c r="C953" s="1" t="n">
        <v>45564</v>
      </c>
      <c r="D953" t="inlineStr">
        <is>
          <t>ÖREBRO LÄN</t>
        </is>
      </c>
      <c r="E953" t="inlineStr">
        <is>
          <t>ÖREBRO</t>
        </is>
      </c>
      <c r="G953" t="n">
        <v>3.4</v>
      </c>
      <c r="H953" t="n">
        <v>0</v>
      </c>
      <c r="I953" t="n">
        <v>0</v>
      </c>
      <c r="J953" t="n">
        <v>0</v>
      </c>
      <c r="K953" t="n">
        <v>0</v>
      </c>
      <c r="L953" t="n">
        <v>0</v>
      </c>
      <c r="M953" t="n">
        <v>0</v>
      </c>
      <c r="N953" t="n">
        <v>0</v>
      </c>
      <c r="O953" t="n">
        <v>0</v>
      </c>
      <c r="P953" t="n">
        <v>0</v>
      </c>
      <c r="Q953" t="n">
        <v>0</v>
      </c>
      <c r="R953" s="2" t="inlineStr"/>
    </row>
    <row r="954" ht="15" customHeight="1">
      <c r="A954" t="inlineStr">
        <is>
          <t>A 22803-2024</t>
        </is>
      </c>
      <c r="B954" s="1" t="n">
        <v>45448</v>
      </c>
      <c r="C954" s="1" t="n">
        <v>45564</v>
      </c>
      <c r="D954" t="inlineStr">
        <is>
          <t>ÖREBRO LÄN</t>
        </is>
      </c>
      <c r="E954" t="inlineStr">
        <is>
          <t>ÖREBRO</t>
        </is>
      </c>
      <c r="G954" t="n">
        <v>3.1</v>
      </c>
      <c r="H954" t="n">
        <v>0</v>
      </c>
      <c r="I954" t="n">
        <v>0</v>
      </c>
      <c r="J954" t="n">
        <v>0</v>
      </c>
      <c r="K954" t="n">
        <v>0</v>
      </c>
      <c r="L954" t="n">
        <v>0</v>
      </c>
      <c r="M954" t="n">
        <v>0</v>
      </c>
      <c r="N954" t="n">
        <v>0</v>
      </c>
      <c r="O954" t="n">
        <v>0</v>
      </c>
      <c r="P954" t="n">
        <v>0</v>
      </c>
      <c r="Q954" t="n">
        <v>0</v>
      </c>
      <c r="R954" s="2" t="inlineStr"/>
    </row>
    <row r="955" ht="15" customHeight="1">
      <c r="A955" t="inlineStr">
        <is>
          <t>A 25183-2024</t>
        </is>
      </c>
      <c r="B955" s="1" t="n">
        <v>45462</v>
      </c>
      <c r="C955" s="1" t="n">
        <v>45564</v>
      </c>
      <c r="D955" t="inlineStr">
        <is>
          <t>ÖREBRO LÄN</t>
        </is>
      </c>
      <c r="E955" t="inlineStr">
        <is>
          <t>ÖREBRO</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25996-2024</t>
        </is>
      </c>
      <c r="B956" s="1" t="n">
        <v>45467</v>
      </c>
      <c r="C956" s="1" t="n">
        <v>45564</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26443-2024</t>
        </is>
      </c>
      <c r="B957" s="1" t="n">
        <v>45469</v>
      </c>
      <c r="C957" s="1" t="n">
        <v>45564</v>
      </c>
      <c r="D957" t="inlineStr">
        <is>
          <t>ÖREBRO LÄN</t>
        </is>
      </c>
      <c r="E957" t="inlineStr">
        <is>
          <t>ÖREBRO</t>
        </is>
      </c>
      <c r="G957" t="n">
        <v>5.7</v>
      </c>
      <c r="H957" t="n">
        <v>0</v>
      </c>
      <c r="I957" t="n">
        <v>0</v>
      </c>
      <c r="J957" t="n">
        <v>0</v>
      </c>
      <c r="K957" t="n">
        <v>0</v>
      </c>
      <c r="L957" t="n">
        <v>0</v>
      </c>
      <c r="M957" t="n">
        <v>0</v>
      </c>
      <c r="N957" t="n">
        <v>0</v>
      </c>
      <c r="O957" t="n">
        <v>0</v>
      </c>
      <c r="P957" t="n">
        <v>0</v>
      </c>
      <c r="Q957" t="n">
        <v>0</v>
      </c>
      <c r="R957" s="2" t="inlineStr"/>
    </row>
    <row r="958" ht="15" customHeight="1">
      <c r="A958" t="inlineStr">
        <is>
          <t>A 26858-2024</t>
        </is>
      </c>
      <c r="B958" s="1" t="n">
        <v>45470</v>
      </c>
      <c r="C958" s="1" t="n">
        <v>45564</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26817-2024</t>
        </is>
      </c>
      <c r="B959" s="1" t="n">
        <v>45470</v>
      </c>
      <c r="C959" s="1" t="n">
        <v>45564</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29086-2024</t>
        </is>
      </c>
      <c r="B960" s="1" t="n">
        <v>45482</v>
      </c>
      <c r="C960" s="1" t="n">
        <v>45564</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29352-2024</t>
        </is>
      </c>
      <c r="B961" s="1" t="n">
        <v>45483</v>
      </c>
      <c r="C961" s="1" t="n">
        <v>45564</v>
      </c>
      <c r="D961" t="inlineStr">
        <is>
          <t>ÖREBRO LÄN</t>
        </is>
      </c>
      <c r="E961" t="inlineStr">
        <is>
          <t>ÖREBRO</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30089-2024</t>
        </is>
      </c>
      <c r="B962" s="1" t="n">
        <v>45485</v>
      </c>
      <c r="C962" s="1" t="n">
        <v>45564</v>
      </c>
      <c r="D962" t="inlineStr">
        <is>
          <t>ÖREBRO LÄN</t>
        </is>
      </c>
      <c r="E962" t="inlineStr">
        <is>
          <t>ÖREBRO</t>
        </is>
      </c>
      <c r="G962" t="n">
        <v>2.2</v>
      </c>
      <c r="H962" t="n">
        <v>0</v>
      </c>
      <c r="I962" t="n">
        <v>0</v>
      </c>
      <c r="J962" t="n">
        <v>0</v>
      </c>
      <c r="K962" t="n">
        <v>0</v>
      </c>
      <c r="L962" t="n">
        <v>0</v>
      </c>
      <c r="M962" t="n">
        <v>0</v>
      </c>
      <c r="N962" t="n">
        <v>0</v>
      </c>
      <c r="O962" t="n">
        <v>0</v>
      </c>
      <c r="P962" t="n">
        <v>0</v>
      </c>
      <c r="Q962" t="n">
        <v>0</v>
      </c>
      <c r="R962" s="2" t="inlineStr"/>
    </row>
    <row r="963" ht="15" customHeight="1">
      <c r="A963" t="inlineStr">
        <is>
          <t>A 29978-2024</t>
        </is>
      </c>
      <c r="B963" s="1" t="n">
        <v>45488</v>
      </c>
      <c r="C963" s="1" t="n">
        <v>45564</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30316-2024</t>
        </is>
      </c>
      <c r="B964" s="1" t="n">
        <v>45490</v>
      </c>
      <c r="C964" s="1" t="n">
        <v>45564</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30903-2024</t>
        </is>
      </c>
      <c r="B965" s="1" t="n">
        <v>45498</v>
      </c>
      <c r="C965" s="1" t="n">
        <v>45564</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31074-2024</t>
        </is>
      </c>
      <c r="B966" s="1" t="n">
        <v>45502</v>
      </c>
      <c r="C966" s="1" t="n">
        <v>45564</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45564</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31326-2024</t>
        </is>
      </c>
      <c r="B968" s="1" t="n">
        <v>45504</v>
      </c>
      <c r="C968" s="1" t="n">
        <v>45564</v>
      </c>
      <c r="D968" t="inlineStr">
        <is>
          <t>ÖREBRO LÄN</t>
        </is>
      </c>
      <c r="E968" t="inlineStr">
        <is>
          <t>ÖREBRO</t>
        </is>
      </c>
      <c r="G968" t="n">
        <v>6.4</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45564</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32025-2024</t>
        </is>
      </c>
      <c r="B970" s="1" t="n">
        <v>45510</v>
      </c>
      <c r="C970" s="1" t="n">
        <v>45564</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31990-2024</t>
        </is>
      </c>
      <c r="B971" s="1" t="n">
        <v>45510</v>
      </c>
      <c r="C971" s="1" t="n">
        <v>45564</v>
      </c>
      <c r="D971" t="inlineStr">
        <is>
          <t>ÖREBRO LÄN</t>
        </is>
      </c>
      <c r="E971" t="inlineStr">
        <is>
          <t>ÖREBRO</t>
        </is>
      </c>
      <c r="G971" t="n">
        <v>3.2</v>
      </c>
      <c r="H971" t="n">
        <v>0</v>
      </c>
      <c r="I971" t="n">
        <v>0</v>
      </c>
      <c r="J971" t="n">
        <v>0</v>
      </c>
      <c r="K971" t="n">
        <v>0</v>
      </c>
      <c r="L971" t="n">
        <v>0</v>
      </c>
      <c r="M971" t="n">
        <v>0</v>
      </c>
      <c r="N971" t="n">
        <v>0</v>
      </c>
      <c r="O971" t="n">
        <v>0</v>
      </c>
      <c r="P971" t="n">
        <v>0</v>
      </c>
      <c r="Q971" t="n">
        <v>0</v>
      </c>
      <c r="R971" s="2" t="inlineStr"/>
    </row>
    <row r="972" ht="15" customHeight="1">
      <c r="A972" t="inlineStr">
        <is>
          <t>A 32975-2024</t>
        </is>
      </c>
      <c r="B972" s="1" t="n">
        <v>45517</v>
      </c>
      <c r="C972" s="1" t="n">
        <v>45564</v>
      </c>
      <c r="D972" t="inlineStr">
        <is>
          <t>ÖREBRO LÄN</t>
        </is>
      </c>
      <c r="E972" t="inlineStr">
        <is>
          <t>ÖREBRO</t>
        </is>
      </c>
      <c r="G972" t="n">
        <v>2.8</v>
      </c>
      <c r="H972" t="n">
        <v>0</v>
      </c>
      <c r="I972" t="n">
        <v>0</v>
      </c>
      <c r="J972" t="n">
        <v>0</v>
      </c>
      <c r="K972" t="n">
        <v>0</v>
      </c>
      <c r="L972" t="n">
        <v>0</v>
      </c>
      <c r="M972" t="n">
        <v>0</v>
      </c>
      <c r="N972" t="n">
        <v>0</v>
      </c>
      <c r="O972" t="n">
        <v>0</v>
      </c>
      <c r="P972" t="n">
        <v>0</v>
      </c>
      <c r="Q972" t="n">
        <v>0</v>
      </c>
      <c r="R972" s="2" t="inlineStr"/>
    </row>
    <row r="973" ht="15" customHeight="1">
      <c r="A973" t="inlineStr">
        <is>
          <t>A 33920-2024</t>
        </is>
      </c>
      <c r="B973" s="1" t="n">
        <v>45523</v>
      </c>
      <c r="C973" s="1" t="n">
        <v>45564</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34336-2024</t>
        </is>
      </c>
      <c r="B974" s="1" t="n">
        <v>45525</v>
      </c>
      <c r="C974" s="1" t="n">
        <v>45564</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35345-2024</t>
        </is>
      </c>
      <c r="B975" s="1" t="n">
        <v>45530</v>
      </c>
      <c r="C975" s="1" t="n">
        <v>45564</v>
      </c>
      <c r="D975" t="inlineStr">
        <is>
          <t>ÖREBRO LÄN</t>
        </is>
      </c>
      <c r="E975" t="inlineStr">
        <is>
          <t>ÖREBRO</t>
        </is>
      </c>
      <c r="G975" t="n">
        <v>0.9</v>
      </c>
      <c r="H975" t="n">
        <v>0</v>
      </c>
      <c r="I975" t="n">
        <v>0</v>
      </c>
      <c r="J975" t="n">
        <v>0</v>
      </c>
      <c r="K975" t="n">
        <v>0</v>
      </c>
      <c r="L975" t="n">
        <v>0</v>
      </c>
      <c r="M975" t="n">
        <v>0</v>
      </c>
      <c r="N975" t="n">
        <v>0</v>
      </c>
      <c r="O975" t="n">
        <v>0</v>
      </c>
      <c r="P975" t="n">
        <v>0</v>
      </c>
      <c r="Q975" t="n">
        <v>0</v>
      </c>
      <c r="R975" s="2" t="inlineStr"/>
    </row>
    <row r="976" ht="15" customHeight="1">
      <c r="A976" t="inlineStr">
        <is>
          <t>A 35477-2024</t>
        </is>
      </c>
      <c r="B976" s="1" t="n">
        <v>45531</v>
      </c>
      <c r="C976" s="1" t="n">
        <v>45564</v>
      </c>
      <c r="D976" t="inlineStr">
        <is>
          <t>ÖREBRO LÄN</t>
        </is>
      </c>
      <c r="E976" t="inlineStr">
        <is>
          <t>ÖREBRO</t>
        </is>
      </c>
      <c r="G976" t="n">
        <v>2.4</v>
      </c>
      <c r="H976" t="n">
        <v>0</v>
      </c>
      <c r="I976" t="n">
        <v>0</v>
      </c>
      <c r="J976" t="n">
        <v>0</v>
      </c>
      <c r="K976" t="n">
        <v>0</v>
      </c>
      <c r="L976" t="n">
        <v>0</v>
      </c>
      <c r="M976" t="n">
        <v>0</v>
      </c>
      <c r="N976" t="n">
        <v>0</v>
      </c>
      <c r="O976" t="n">
        <v>0</v>
      </c>
      <c r="P976" t="n">
        <v>0</v>
      </c>
      <c r="Q976" t="n">
        <v>0</v>
      </c>
      <c r="R976" s="2" t="inlineStr"/>
    </row>
    <row r="977" ht="15" customHeight="1">
      <c r="A977" t="inlineStr">
        <is>
          <t>A 35819-2024</t>
        </is>
      </c>
      <c r="B977" s="1" t="n">
        <v>45532</v>
      </c>
      <c r="C977" s="1" t="n">
        <v>45564</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35829-2024</t>
        </is>
      </c>
      <c r="B978" s="1" t="n">
        <v>45532</v>
      </c>
      <c r="C978" s="1" t="n">
        <v>45564</v>
      </c>
      <c r="D978" t="inlineStr">
        <is>
          <t>ÖREBRO LÄN</t>
        </is>
      </c>
      <c r="E978" t="inlineStr">
        <is>
          <t>ÖREBRO</t>
        </is>
      </c>
      <c r="G978" t="n">
        <v>4.6</v>
      </c>
      <c r="H978" t="n">
        <v>0</v>
      </c>
      <c r="I978" t="n">
        <v>0</v>
      </c>
      <c r="J978" t="n">
        <v>0</v>
      </c>
      <c r="K978" t="n">
        <v>0</v>
      </c>
      <c r="L978" t="n">
        <v>0</v>
      </c>
      <c r="M978" t="n">
        <v>0</v>
      </c>
      <c r="N978" t="n">
        <v>0</v>
      </c>
      <c r="O978" t="n">
        <v>0</v>
      </c>
      <c r="P978" t="n">
        <v>0</v>
      </c>
      <c r="Q978" t="n">
        <v>0</v>
      </c>
      <c r="R978" s="2" t="inlineStr"/>
    </row>
    <row r="979" ht="15" customHeight="1">
      <c r="A979" t="inlineStr">
        <is>
          <t>A 35833-2024</t>
        </is>
      </c>
      <c r="B979" s="1" t="n">
        <v>45532</v>
      </c>
      <c r="C979" s="1" t="n">
        <v>45564</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36444-2024</t>
        </is>
      </c>
      <c r="B980" s="1" t="n">
        <v>45536</v>
      </c>
      <c r="C980" s="1" t="n">
        <v>45564</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45564</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37012-2024</t>
        </is>
      </c>
      <c r="B982" s="1" t="n">
        <v>45539</v>
      </c>
      <c r="C982" s="1" t="n">
        <v>45564</v>
      </c>
      <c r="D982" t="inlineStr">
        <is>
          <t>ÖREBRO LÄN</t>
        </is>
      </c>
      <c r="E982" t="inlineStr">
        <is>
          <t>ÖREBRO</t>
        </is>
      </c>
      <c r="G982" t="n">
        <v>4.1</v>
      </c>
      <c r="H982" t="n">
        <v>0</v>
      </c>
      <c r="I982" t="n">
        <v>0</v>
      </c>
      <c r="J982" t="n">
        <v>0</v>
      </c>
      <c r="K982" t="n">
        <v>0</v>
      </c>
      <c r="L982" t="n">
        <v>0</v>
      </c>
      <c r="M982" t="n">
        <v>0</v>
      </c>
      <c r="N982" t="n">
        <v>0</v>
      </c>
      <c r="O982" t="n">
        <v>0</v>
      </c>
      <c r="P982" t="n">
        <v>0</v>
      </c>
      <c r="Q982" t="n">
        <v>0</v>
      </c>
      <c r="R982" s="2" t="inlineStr"/>
    </row>
    <row r="983" ht="15" customHeight="1">
      <c r="A983" t="inlineStr">
        <is>
          <t>A 37020-2024</t>
        </is>
      </c>
      <c r="B983" s="1" t="n">
        <v>45539</v>
      </c>
      <c r="C983" s="1" t="n">
        <v>45564</v>
      </c>
      <c r="D983" t="inlineStr">
        <is>
          <t>ÖREBRO LÄN</t>
        </is>
      </c>
      <c r="E983" t="inlineStr">
        <is>
          <t>ÖREBRO</t>
        </is>
      </c>
      <c r="F983" t="inlineStr">
        <is>
          <t>Sveaskog</t>
        </is>
      </c>
      <c r="G983" t="n">
        <v>3.1</v>
      </c>
      <c r="H983" t="n">
        <v>0</v>
      </c>
      <c r="I983" t="n">
        <v>0</v>
      </c>
      <c r="J983" t="n">
        <v>0</v>
      </c>
      <c r="K983" t="n">
        <v>0</v>
      </c>
      <c r="L983" t="n">
        <v>0</v>
      </c>
      <c r="M983" t="n">
        <v>0</v>
      </c>
      <c r="N983" t="n">
        <v>0</v>
      </c>
      <c r="O983" t="n">
        <v>0</v>
      </c>
      <c r="P983" t="n">
        <v>0</v>
      </c>
      <c r="Q983" t="n">
        <v>0</v>
      </c>
      <c r="R983" s="2" t="inlineStr"/>
    </row>
    <row r="984" ht="15" customHeight="1">
      <c r="A984" t="inlineStr">
        <is>
          <t>A 37024-2024</t>
        </is>
      </c>
      <c r="B984" s="1" t="n">
        <v>45539</v>
      </c>
      <c r="C984" s="1" t="n">
        <v>45564</v>
      </c>
      <c r="D984" t="inlineStr">
        <is>
          <t>ÖREBRO LÄN</t>
        </is>
      </c>
      <c r="E984" t="inlineStr">
        <is>
          <t>ÖREBRO</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37022-2024</t>
        </is>
      </c>
      <c r="B985" s="1" t="n">
        <v>45539</v>
      </c>
      <c r="C985" s="1" t="n">
        <v>45564</v>
      </c>
      <c r="D985" t="inlineStr">
        <is>
          <t>ÖREBRO LÄN</t>
        </is>
      </c>
      <c r="E985" t="inlineStr">
        <is>
          <t>ÖREBRO</t>
        </is>
      </c>
      <c r="F985" t="inlineStr">
        <is>
          <t>Sveaskog</t>
        </is>
      </c>
      <c r="G985" t="n">
        <v>1.1</v>
      </c>
      <c r="H985" t="n">
        <v>0</v>
      </c>
      <c r="I985" t="n">
        <v>0</v>
      </c>
      <c r="J985" t="n">
        <v>0</v>
      </c>
      <c r="K985" t="n">
        <v>0</v>
      </c>
      <c r="L985" t="n">
        <v>0</v>
      </c>
      <c r="M985" t="n">
        <v>0</v>
      </c>
      <c r="N985" t="n">
        <v>0</v>
      </c>
      <c r="O985" t="n">
        <v>0</v>
      </c>
      <c r="P985" t="n">
        <v>0</v>
      </c>
      <c r="Q985" t="n">
        <v>0</v>
      </c>
      <c r="R985" s="2" t="inlineStr"/>
    </row>
    <row r="986" ht="15" customHeight="1">
      <c r="A986" t="inlineStr">
        <is>
          <t>A 37021-2024</t>
        </is>
      </c>
      <c r="B986" s="1" t="n">
        <v>45539</v>
      </c>
      <c r="C986" s="1" t="n">
        <v>45564</v>
      </c>
      <c r="D986" t="inlineStr">
        <is>
          <t>ÖREBRO LÄN</t>
        </is>
      </c>
      <c r="E986" t="inlineStr">
        <is>
          <t>ÖREBRO</t>
        </is>
      </c>
      <c r="F986" t="inlineStr">
        <is>
          <t>Sveaskog</t>
        </is>
      </c>
      <c r="G986" t="n">
        <v>1.6</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45564</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45564</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37631-2024</t>
        </is>
      </c>
      <c r="B989" s="1" t="n">
        <v>45541</v>
      </c>
      <c r="C989" s="1" t="n">
        <v>45564</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37772-2024</t>
        </is>
      </c>
      <c r="B990" s="1" t="n">
        <v>45542</v>
      </c>
      <c r="C990" s="1" t="n">
        <v>45564</v>
      </c>
      <c r="D990" t="inlineStr">
        <is>
          <t>ÖREBRO LÄN</t>
        </is>
      </c>
      <c r="E990" t="inlineStr">
        <is>
          <t>ÖREBRO</t>
        </is>
      </c>
      <c r="G990" t="n">
        <v>3.2</v>
      </c>
      <c r="H990" t="n">
        <v>0</v>
      </c>
      <c r="I990" t="n">
        <v>0</v>
      </c>
      <c r="J990" t="n">
        <v>0</v>
      </c>
      <c r="K990" t="n">
        <v>0</v>
      </c>
      <c r="L990" t="n">
        <v>0</v>
      </c>
      <c r="M990" t="n">
        <v>0</v>
      </c>
      <c r="N990" t="n">
        <v>0</v>
      </c>
      <c r="O990" t="n">
        <v>0</v>
      </c>
      <c r="P990" t="n">
        <v>0</v>
      </c>
      <c r="Q990" t="n">
        <v>0</v>
      </c>
      <c r="R990" s="2" t="inlineStr"/>
    </row>
    <row r="991" ht="15" customHeight="1">
      <c r="A991" t="inlineStr">
        <is>
          <t>A 37784-2024</t>
        </is>
      </c>
      <c r="B991" s="1" t="n">
        <v>45542</v>
      </c>
      <c r="C991" s="1" t="n">
        <v>45564</v>
      </c>
      <c r="D991" t="inlineStr">
        <is>
          <t>ÖREBRO LÄN</t>
        </is>
      </c>
      <c r="E991" t="inlineStr">
        <is>
          <t>ÖREBRO</t>
        </is>
      </c>
      <c r="G991" t="n">
        <v>8.6</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45564</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37771-2024</t>
        </is>
      </c>
      <c r="B993" s="1" t="n">
        <v>45542</v>
      </c>
      <c r="C993" s="1" t="n">
        <v>45564</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37773-2024</t>
        </is>
      </c>
      <c r="B994" s="1" t="n">
        <v>45542</v>
      </c>
      <c r="C994" s="1" t="n">
        <v>45564</v>
      </c>
      <c r="D994" t="inlineStr">
        <is>
          <t>ÖREBRO LÄN</t>
        </is>
      </c>
      <c r="E994" t="inlineStr">
        <is>
          <t>ÖREBRO</t>
        </is>
      </c>
      <c r="G994" t="n">
        <v>2.1</v>
      </c>
      <c r="H994" t="n">
        <v>0</v>
      </c>
      <c r="I994" t="n">
        <v>0</v>
      </c>
      <c r="J994" t="n">
        <v>0</v>
      </c>
      <c r="K994" t="n">
        <v>0</v>
      </c>
      <c r="L994" t="n">
        <v>0</v>
      </c>
      <c r="M994" t="n">
        <v>0</v>
      </c>
      <c r="N994" t="n">
        <v>0</v>
      </c>
      <c r="O994" t="n">
        <v>0</v>
      </c>
      <c r="P994" t="n">
        <v>0</v>
      </c>
      <c r="Q994" t="n">
        <v>0</v>
      </c>
      <c r="R994" s="2" t="inlineStr"/>
    </row>
    <row r="995" ht="15" customHeight="1">
      <c r="A995" t="inlineStr">
        <is>
          <t>A 37968-2024</t>
        </is>
      </c>
      <c r="B995" s="1" t="n">
        <v>45544</v>
      </c>
      <c r="C995" s="1" t="n">
        <v>45564</v>
      </c>
      <c r="D995" t="inlineStr">
        <is>
          <t>ÖREBRO LÄN</t>
        </is>
      </c>
      <c r="E995" t="inlineStr">
        <is>
          <t>ÖREBRO</t>
        </is>
      </c>
      <c r="G995" t="n">
        <v>2</v>
      </c>
      <c r="H995" t="n">
        <v>0</v>
      </c>
      <c r="I995" t="n">
        <v>0</v>
      </c>
      <c r="J995" t="n">
        <v>0</v>
      </c>
      <c r="K995" t="n">
        <v>0</v>
      </c>
      <c r="L995" t="n">
        <v>0</v>
      </c>
      <c r="M995" t="n">
        <v>0</v>
      </c>
      <c r="N995" t="n">
        <v>0</v>
      </c>
      <c r="O995" t="n">
        <v>0</v>
      </c>
      <c r="P995" t="n">
        <v>0</v>
      </c>
      <c r="Q995" t="n">
        <v>0</v>
      </c>
      <c r="R995" s="2" t="inlineStr"/>
    </row>
    <row r="996" ht="15" customHeight="1">
      <c r="A996" t="inlineStr">
        <is>
          <t>A 38790-2024</t>
        </is>
      </c>
      <c r="B996" s="1" t="n">
        <v>45547</v>
      </c>
      <c r="C996" s="1" t="n">
        <v>45564</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39443-2024</t>
        </is>
      </c>
      <c r="B997" s="1" t="n">
        <v>45551</v>
      </c>
      <c r="C997" s="1" t="n">
        <v>45564</v>
      </c>
      <c r="D997" t="inlineStr">
        <is>
          <t>ÖREBRO LÄN</t>
        </is>
      </c>
      <c r="E997" t="inlineStr">
        <is>
          <t>ÖREBRO</t>
        </is>
      </c>
      <c r="G997" t="n">
        <v>2.7</v>
      </c>
      <c r="H997" t="n">
        <v>0</v>
      </c>
      <c r="I997" t="n">
        <v>0</v>
      </c>
      <c r="J997" t="n">
        <v>0</v>
      </c>
      <c r="K997" t="n">
        <v>0</v>
      </c>
      <c r="L997" t="n">
        <v>0</v>
      </c>
      <c r="M997" t="n">
        <v>0</v>
      </c>
      <c r="N997" t="n">
        <v>0</v>
      </c>
      <c r="O997" t="n">
        <v>0</v>
      </c>
      <c r="P997" t="n">
        <v>0</v>
      </c>
      <c r="Q997" t="n">
        <v>0</v>
      </c>
      <c r="R997" s="2" t="inlineStr"/>
    </row>
    <row r="998" ht="15" customHeight="1">
      <c r="A998" t="inlineStr">
        <is>
          <t>A 39735-2024</t>
        </is>
      </c>
      <c r="B998" s="1" t="n">
        <v>45552</v>
      </c>
      <c r="C998" s="1" t="n">
        <v>45564</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40051-2024</t>
        </is>
      </c>
      <c r="B999" s="1" t="n">
        <v>45553</v>
      </c>
      <c r="C999" s="1" t="n">
        <v>45564</v>
      </c>
      <c r="D999" t="inlineStr">
        <is>
          <t>ÖREBRO LÄN</t>
        </is>
      </c>
      <c r="E999" t="inlineStr">
        <is>
          <t>ÖREBRO</t>
        </is>
      </c>
      <c r="G999" t="n">
        <v>3.5</v>
      </c>
      <c r="H999" t="n">
        <v>0</v>
      </c>
      <c r="I999" t="n">
        <v>0</v>
      </c>
      <c r="J999" t="n">
        <v>0</v>
      </c>
      <c r="K999" t="n">
        <v>0</v>
      </c>
      <c r="L999" t="n">
        <v>0</v>
      </c>
      <c r="M999" t="n">
        <v>0</v>
      </c>
      <c r="N999" t="n">
        <v>0</v>
      </c>
      <c r="O999" t="n">
        <v>0</v>
      </c>
      <c r="P999" t="n">
        <v>0</v>
      </c>
      <c r="Q999" t="n">
        <v>0</v>
      </c>
      <c r="R999" s="2" t="inlineStr"/>
    </row>
    <row r="1000" ht="15" customHeight="1">
      <c r="A1000" t="inlineStr">
        <is>
          <t>A 40522-2024</t>
        </is>
      </c>
      <c r="B1000" s="1" t="n">
        <v>45555</v>
      </c>
      <c r="C1000" s="1" t="n">
        <v>45564</v>
      </c>
      <c r="D1000" t="inlineStr">
        <is>
          <t>ÖREBRO LÄN</t>
        </is>
      </c>
      <c r="E1000" t="inlineStr">
        <is>
          <t>ÖREBRO</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41150-2024</t>
        </is>
      </c>
      <c r="B1001" s="1" t="n">
        <v>45559</v>
      </c>
      <c r="C1001" s="1" t="n">
        <v>45564</v>
      </c>
      <c r="D1001" t="inlineStr">
        <is>
          <t>ÖREBRO LÄN</t>
        </is>
      </c>
      <c r="E1001" t="inlineStr">
        <is>
          <t>ÖREBRO</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41543-2024</t>
        </is>
      </c>
      <c r="B1002" s="1" t="n">
        <v>45560</v>
      </c>
      <c r="C1002" s="1" t="n">
        <v>45564</v>
      </c>
      <c r="D1002" t="inlineStr">
        <is>
          <t>ÖREBRO LÄN</t>
        </is>
      </c>
      <c r="E1002" t="inlineStr">
        <is>
          <t>ÖREBRO</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41678-2024</t>
        </is>
      </c>
      <c r="B1003" s="1" t="n">
        <v>45560</v>
      </c>
      <c r="C1003" s="1" t="n">
        <v>45564</v>
      </c>
      <c r="D1003" t="inlineStr">
        <is>
          <t>ÖREBRO LÄN</t>
        </is>
      </c>
      <c r="E1003" t="inlineStr">
        <is>
          <t>ÖREBRO</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45564</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41995-2024</t>
        </is>
      </c>
      <c r="B1005" s="1" t="n">
        <v>45561</v>
      </c>
      <c r="C1005" s="1" t="n">
        <v>45564</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c r="A1006" t="inlineStr">
        <is>
          <t>A 42138-2024</t>
        </is>
      </c>
      <c r="B1006" s="1" t="n">
        <v>45562</v>
      </c>
      <c r="C1006" s="1" t="n">
        <v>45564</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2024-09-29T12:08:23Z</dcterms:created>
  <dcterms:modified xmlns:dcterms="http://purl.org/dc/terms/" xmlns:xsi="http://www.w3.org/2001/XMLSchema-instance" xsi:type="dcterms:W3CDTF">2024-09-29T12:08:24Z</dcterms:modified>
</cp:coreProperties>
</file>