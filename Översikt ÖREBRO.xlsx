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45513</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45513</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45513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45513</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45513</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45513</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45513</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45513</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45513</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45513</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45513</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45513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45513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45513</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45513</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45513</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45513</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45513</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45513</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45513</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45513</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45513</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45513</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45513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45513</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45513</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45513</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45513</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45513</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45513</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45513</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45513</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45513</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45513</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45513</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45513</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45513</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45513</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45513</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45513</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45513</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45513</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31234-2023</t>
        </is>
      </c>
      <c r="B44" s="1" t="n">
        <v>45114</v>
      </c>
      <c r="C44" s="1" t="n">
        <v>45513</v>
      </c>
      <c r="D44" t="inlineStr">
        <is>
          <t>ÖREBRO LÄN</t>
        </is>
      </c>
      <c r="E44" t="inlineStr">
        <is>
          <t>ÖREBRO</t>
        </is>
      </c>
      <c r="F44" t="inlineStr">
        <is>
          <t>Allmännings- och besparingsskogar</t>
        </is>
      </c>
      <c r="G44" t="n">
        <v>30.5</v>
      </c>
      <c r="H44" t="n">
        <v>2</v>
      </c>
      <c r="I44" t="n">
        <v>0</v>
      </c>
      <c r="J44" t="n">
        <v>2</v>
      </c>
      <c r="K44" t="n">
        <v>0</v>
      </c>
      <c r="L44" t="n">
        <v>0</v>
      </c>
      <c r="M44" t="n">
        <v>0</v>
      </c>
      <c r="N44" t="n">
        <v>0</v>
      </c>
      <c r="O44" t="n">
        <v>2</v>
      </c>
      <c r="P44" t="n">
        <v>0</v>
      </c>
      <c r="Q44" t="n">
        <v>2</v>
      </c>
      <c r="R44" s="2" t="inlineStr">
        <is>
          <t>Havsörn
Spillkråka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587-2024</t>
        </is>
      </c>
      <c r="B45" s="1" t="n">
        <v>45299</v>
      </c>
      <c r="C45" s="1" t="n">
        <v>45513</v>
      </c>
      <c r="D45" t="inlineStr">
        <is>
          <t>ÖREBRO LÄN</t>
        </is>
      </c>
      <c r="E45" t="inlineStr">
        <is>
          <t>ÖREBRO</t>
        </is>
      </c>
      <c r="F45" t="inlineStr">
        <is>
          <t>Övriga Aktiebolag</t>
        </is>
      </c>
      <c r="G45" t="n">
        <v>6.4</v>
      </c>
      <c r="H45" t="n">
        <v>2</v>
      </c>
      <c r="I45" t="n">
        <v>0</v>
      </c>
      <c r="J45" t="n">
        <v>2</v>
      </c>
      <c r="K45" t="n">
        <v>0</v>
      </c>
      <c r="L45" t="n">
        <v>0</v>
      </c>
      <c r="M45" t="n">
        <v>0</v>
      </c>
      <c r="N45" t="n">
        <v>0</v>
      </c>
      <c r="O45" t="n">
        <v>2</v>
      </c>
      <c r="P45" t="n">
        <v>0</v>
      </c>
      <c r="Q45" t="n">
        <v>2</v>
      </c>
      <c r="R45" s="2" t="inlineStr">
        <is>
          <t>Rödvingetrast
Spillkråka</t>
        </is>
      </c>
      <c r="S45">
        <f>HYPERLINK("https://klasma.github.io/Logging_1880/artfynd/A 587-2024 artfynd.xlsx", "A 587-2024")</f>
        <v/>
      </c>
      <c r="T45">
        <f>HYPERLINK("https://klasma.github.io/Logging_1880/kartor/A 587-2024 karta.png", "A 587-2024")</f>
        <v/>
      </c>
      <c r="V45">
        <f>HYPERLINK("https://klasma.github.io/Logging_1880/klagomål/A 587-2024 FSC-klagomål.docx", "A 587-2024")</f>
        <v/>
      </c>
      <c r="W45">
        <f>HYPERLINK("https://klasma.github.io/Logging_1880/klagomålsmail/A 587-2024 FSC-klagomål mail.docx", "A 587-2024")</f>
        <v/>
      </c>
      <c r="X45">
        <f>HYPERLINK("https://klasma.github.io/Logging_1880/tillsyn/A 587-2024 tillsynsbegäran.docx", "A 587-2024")</f>
        <v/>
      </c>
      <c r="Y45">
        <f>HYPERLINK("https://klasma.github.io/Logging_1880/tillsynsmail/A 587-2024 tillsynsbegäran mail.docx", "A 587-2024")</f>
        <v/>
      </c>
      <c r="Z45">
        <f>HYPERLINK("https://klasma.github.io/Logging_1880/fåglar/A 587-2024 prioriterade fågelarter.docx", "A 587-2024")</f>
        <v/>
      </c>
    </row>
    <row r="46" ht="15" customHeight="1">
      <c r="A46" t="inlineStr">
        <is>
          <t>A 7608-2024</t>
        </is>
      </c>
      <c r="B46" s="1" t="n">
        <v>45348</v>
      </c>
      <c r="C46" s="1" t="n">
        <v>45513</v>
      </c>
      <c r="D46" t="inlineStr">
        <is>
          <t>ÖREBRO LÄN</t>
        </is>
      </c>
      <c r="E46" t="inlineStr">
        <is>
          <t>ÖREBRO</t>
        </is>
      </c>
      <c r="G46" t="n">
        <v>4.3</v>
      </c>
      <c r="H46" t="n">
        <v>2</v>
      </c>
      <c r="I46" t="n">
        <v>0</v>
      </c>
      <c r="J46" t="n">
        <v>1</v>
      </c>
      <c r="K46" t="n">
        <v>1</v>
      </c>
      <c r="L46" t="n">
        <v>0</v>
      </c>
      <c r="M46" t="n">
        <v>0</v>
      </c>
      <c r="N46" t="n">
        <v>0</v>
      </c>
      <c r="O46" t="n">
        <v>2</v>
      </c>
      <c r="P46" t="n">
        <v>1</v>
      </c>
      <c r="Q46" t="n">
        <v>2</v>
      </c>
      <c r="R46" s="2" t="inlineStr">
        <is>
          <t>Knärot
Spillkråka</t>
        </is>
      </c>
      <c r="S46">
        <f>HYPERLINK("https://klasma.github.io/Logging_1880/artfynd/A 7608-2024 artfynd.xlsx", "A 7608-2024")</f>
        <v/>
      </c>
      <c r="T46">
        <f>HYPERLINK("https://klasma.github.io/Logging_1880/kartor/A 7608-2024 karta.png", "A 7608-2024")</f>
        <v/>
      </c>
      <c r="U46">
        <f>HYPERLINK("https://klasma.github.io/Logging_1880/knärot/A 7608-2024 karta knärot.png", "A 7608-2024")</f>
        <v/>
      </c>
      <c r="V46">
        <f>HYPERLINK("https://klasma.github.io/Logging_1880/klagomål/A 7608-2024 FSC-klagomål.docx", "A 7608-2024")</f>
        <v/>
      </c>
      <c r="W46">
        <f>HYPERLINK("https://klasma.github.io/Logging_1880/klagomålsmail/A 7608-2024 FSC-klagomål mail.docx", "A 7608-2024")</f>
        <v/>
      </c>
      <c r="X46">
        <f>HYPERLINK("https://klasma.github.io/Logging_1880/tillsyn/A 7608-2024 tillsynsbegäran.docx", "A 7608-2024")</f>
        <v/>
      </c>
      <c r="Y46">
        <f>HYPERLINK("https://klasma.github.io/Logging_1880/tillsynsmail/A 7608-2024 tillsynsbegäran mail.docx", "A 7608-2024")</f>
        <v/>
      </c>
      <c r="Z46">
        <f>HYPERLINK("https://klasma.github.io/Logging_1880/fåglar/A 7608-2024 prioriterade fågelarter.docx", "A 7608-2024")</f>
        <v/>
      </c>
    </row>
    <row r="47" ht="15" customHeight="1">
      <c r="A47" t="inlineStr">
        <is>
          <t>A 32410-2019</t>
        </is>
      </c>
      <c r="B47" s="1" t="n">
        <v>43644</v>
      </c>
      <c r="C47" s="1" t="n">
        <v>45513</v>
      </c>
      <c r="D47" t="inlineStr">
        <is>
          <t>ÖREBRO LÄN</t>
        </is>
      </c>
      <c r="E47" t="inlineStr">
        <is>
          <t>ÖREBRO</t>
        </is>
      </c>
      <c r="G47" t="n">
        <v>1.1</v>
      </c>
      <c r="H47" t="n">
        <v>1</v>
      </c>
      <c r="I47" t="n">
        <v>0</v>
      </c>
      <c r="J47" t="n">
        <v>0</v>
      </c>
      <c r="K47" t="n">
        <v>0</v>
      </c>
      <c r="L47" t="n">
        <v>0</v>
      </c>
      <c r="M47" t="n">
        <v>0</v>
      </c>
      <c r="N47" t="n">
        <v>0</v>
      </c>
      <c r="O47" t="n">
        <v>0</v>
      </c>
      <c r="P47" t="n">
        <v>0</v>
      </c>
      <c r="Q47" t="n">
        <v>1</v>
      </c>
      <c r="R47" s="2" t="inlineStr">
        <is>
          <t>Grönsiska</t>
        </is>
      </c>
      <c r="S47">
        <f>HYPERLINK("https://klasma.github.io/Logging_1880/artfynd/A 32410-2019 artfynd.xlsx", "A 32410-2019")</f>
        <v/>
      </c>
      <c r="T47">
        <f>HYPERLINK("https://klasma.github.io/Logging_1880/kartor/A 32410-2019 karta.png", "A 32410-2019")</f>
        <v/>
      </c>
      <c r="V47">
        <f>HYPERLINK("https://klasma.github.io/Logging_1880/klagomål/A 32410-2019 FSC-klagomål.docx", "A 32410-2019")</f>
        <v/>
      </c>
      <c r="W47">
        <f>HYPERLINK("https://klasma.github.io/Logging_1880/klagomålsmail/A 32410-2019 FSC-klagomål mail.docx", "A 32410-2019")</f>
        <v/>
      </c>
      <c r="X47">
        <f>HYPERLINK("https://klasma.github.io/Logging_1880/tillsyn/A 32410-2019 tillsynsbegäran.docx", "A 32410-2019")</f>
        <v/>
      </c>
      <c r="Y47">
        <f>HYPERLINK("https://klasma.github.io/Logging_1880/tillsynsmail/A 32410-2019 tillsynsbegäran mail.docx", "A 32410-2019")</f>
        <v/>
      </c>
      <c r="Z47">
        <f>HYPERLINK("https://klasma.github.io/Logging_1880/fåglar/A 32410-2019 prioriterade fågelarter.docx", "A 32410-2019")</f>
        <v/>
      </c>
    </row>
    <row r="48" ht="15" customHeight="1">
      <c r="A48" t="inlineStr">
        <is>
          <t>A 33605-2019</t>
        </is>
      </c>
      <c r="B48" s="1" t="n">
        <v>43644</v>
      </c>
      <c r="C48" s="1" t="n">
        <v>45513</v>
      </c>
      <c r="D48" t="inlineStr">
        <is>
          <t>ÖREBRO LÄN</t>
        </is>
      </c>
      <c r="E48" t="inlineStr">
        <is>
          <t>ÖREBRO</t>
        </is>
      </c>
      <c r="F48" t="inlineStr">
        <is>
          <t>Kommuner</t>
        </is>
      </c>
      <c r="G48" t="n">
        <v>1.5</v>
      </c>
      <c r="H48" t="n">
        <v>0</v>
      </c>
      <c r="I48" t="n">
        <v>0</v>
      </c>
      <c r="J48" t="n">
        <v>1</v>
      </c>
      <c r="K48" t="n">
        <v>0</v>
      </c>
      <c r="L48" t="n">
        <v>0</v>
      </c>
      <c r="M48" t="n">
        <v>0</v>
      </c>
      <c r="N48" t="n">
        <v>0</v>
      </c>
      <c r="O48" t="n">
        <v>1</v>
      </c>
      <c r="P48" t="n">
        <v>0</v>
      </c>
      <c r="Q48" t="n">
        <v>1</v>
      </c>
      <c r="R48" s="2" t="inlineStr">
        <is>
          <t>Tallticka</t>
        </is>
      </c>
      <c r="S48">
        <f>HYPERLINK("https://klasma.github.io/Logging_1880/artfynd/A 33605-2019 artfynd.xlsx", "A 33605-2019")</f>
        <v/>
      </c>
      <c r="T48">
        <f>HYPERLINK("https://klasma.github.io/Logging_1880/kartor/A 33605-2019 karta.png", "A 33605-2019")</f>
        <v/>
      </c>
      <c r="V48">
        <f>HYPERLINK("https://klasma.github.io/Logging_1880/klagomål/A 33605-2019 FSC-klagomål.docx", "A 33605-2019")</f>
        <v/>
      </c>
      <c r="W48">
        <f>HYPERLINK("https://klasma.github.io/Logging_1880/klagomålsmail/A 33605-2019 FSC-klagomål mail.docx", "A 33605-2019")</f>
        <v/>
      </c>
      <c r="X48">
        <f>HYPERLINK("https://klasma.github.io/Logging_1880/tillsyn/A 33605-2019 tillsynsbegäran.docx", "A 33605-2019")</f>
        <v/>
      </c>
      <c r="Y48">
        <f>HYPERLINK("https://klasma.github.io/Logging_1880/tillsynsmail/A 33605-2019 tillsynsbegäran mail.docx", "A 33605-2019")</f>
        <v/>
      </c>
    </row>
    <row r="49" ht="15" customHeight="1">
      <c r="A49" t="inlineStr">
        <is>
          <t>A 41505-2019</t>
        </is>
      </c>
      <c r="B49" s="1" t="n">
        <v>43696</v>
      </c>
      <c r="C49" s="1" t="n">
        <v>45513</v>
      </c>
      <c r="D49" t="inlineStr">
        <is>
          <t>ÖREBRO LÄN</t>
        </is>
      </c>
      <c r="E49" t="inlineStr">
        <is>
          <t>ÖREBRO</t>
        </is>
      </c>
      <c r="F49" t="inlineStr">
        <is>
          <t>Kommuner</t>
        </is>
      </c>
      <c r="G49" t="n">
        <v>2.9</v>
      </c>
      <c r="H49" t="n">
        <v>0</v>
      </c>
      <c r="I49" t="n">
        <v>0</v>
      </c>
      <c r="J49" t="n">
        <v>1</v>
      </c>
      <c r="K49" t="n">
        <v>0</v>
      </c>
      <c r="L49" t="n">
        <v>0</v>
      </c>
      <c r="M49" t="n">
        <v>0</v>
      </c>
      <c r="N49" t="n">
        <v>0</v>
      </c>
      <c r="O49" t="n">
        <v>1</v>
      </c>
      <c r="P49" t="n">
        <v>0</v>
      </c>
      <c r="Q49" t="n">
        <v>1</v>
      </c>
      <c r="R49" s="2" t="inlineStr">
        <is>
          <t>Tallticka</t>
        </is>
      </c>
      <c r="S49">
        <f>HYPERLINK("https://klasma.github.io/Logging_1880/artfynd/A 41505-2019 artfynd.xlsx", "A 41505-2019")</f>
        <v/>
      </c>
      <c r="T49">
        <f>HYPERLINK("https://klasma.github.io/Logging_1880/kartor/A 41505-2019 karta.png", "A 41505-2019")</f>
        <v/>
      </c>
      <c r="V49">
        <f>HYPERLINK("https://klasma.github.io/Logging_1880/klagomål/A 41505-2019 FSC-klagomål.docx", "A 41505-2019")</f>
        <v/>
      </c>
      <c r="W49">
        <f>HYPERLINK("https://klasma.github.io/Logging_1880/klagomålsmail/A 41505-2019 FSC-klagomål mail.docx", "A 41505-2019")</f>
        <v/>
      </c>
      <c r="X49">
        <f>HYPERLINK("https://klasma.github.io/Logging_1880/tillsyn/A 41505-2019 tillsynsbegäran.docx", "A 41505-2019")</f>
        <v/>
      </c>
      <c r="Y49">
        <f>HYPERLINK("https://klasma.github.io/Logging_1880/tillsynsmail/A 41505-2019 tillsynsbegäran mail.docx", "A 41505-2019")</f>
        <v/>
      </c>
    </row>
    <row r="50" ht="15" customHeight="1">
      <c r="A50" t="inlineStr">
        <is>
          <t>A 48989-2019</t>
        </is>
      </c>
      <c r="B50" s="1" t="n">
        <v>43729</v>
      </c>
      <c r="C50" s="1" t="n">
        <v>45513</v>
      </c>
      <c r="D50" t="inlineStr">
        <is>
          <t>ÖREBRO LÄN</t>
        </is>
      </c>
      <c r="E50" t="inlineStr">
        <is>
          <t>ÖREBRO</t>
        </is>
      </c>
      <c r="G50" t="n">
        <v>3.8</v>
      </c>
      <c r="H50" t="n">
        <v>1</v>
      </c>
      <c r="I50" t="n">
        <v>0</v>
      </c>
      <c r="J50" t="n">
        <v>1</v>
      </c>
      <c r="K50" t="n">
        <v>0</v>
      </c>
      <c r="L50" t="n">
        <v>0</v>
      </c>
      <c r="M50" t="n">
        <v>0</v>
      </c>
      <c r="N50" t="n">
        <v>0</v>
      </c>
      <c r="O50" t="n">
        <v>1</v>
      </c>
      <c r="P50" t="n">
        <v>0</v>
      </c>
      <c r="Q50" t="n">
        <v>1</v>
      </c>
      <c r="R50" s="2" t="inlineStr">
        <is>
          <t>Havsörn</t>
        </is>
      </c>
      <c r="S50">
        <f>HYPERLINK("https://klasma.github.io/Logging_1880/artfynd/A 48989-2019 artfynd.xlsx", "A 48989-2019")</f>
        <v/>
      </c>
      <c r="T50">
        <f>HYPERLINK("https://klasma.github.io/Logging_1880/kartor/A 48989-2019 karta.png", "A 48989-2019")</f>
        <v/>
      </c>
      <c r="V50">
        <f>HYPERLINK("https://klasma.github.io/Logging_1880/klagomål/A 48989-2019 FSC-klagomål.docx", "A 48989-2019")</f>
        <v/>
      </c>
      <c r="W50">
        <f>HYPERLINK("https://klasma.github.io/Logging_1880/klagomålsmail/A 48989-2019 FSC-klagomål mail.docx", "A 48989-2019")</f>
        <v/>
      </c>
      <c r="X50">
        <f>HYPERLINK("https://klasma.github.io/Logging_1880/tillsyn/A 48989-2019 tillsynsbegäran.docx", "A 48989-2019")</f>
        <v/>
      </c>
      <c r="Y50">
        <f>HYPERLINK("https://klasma.github.io/Logging_1880/tillsynsmail/A 48989-2019 tillsynsbegäran mail.docx", "A 48989-2019")</f>
        <v/>
      </c>
      <c r="Z50">
        <f>HYPERLINK("https://klasma.github.io/Logging_1880/fåglar/A 48989-2019 prioriterade fågelarter.docx", "A 48989-2019")</f>
        <v/>
      </c>
    </row>
    <row r="51" ht="15" customHeight="1">
      <c r="A51" t="inlineStr">
        <is>
          <t>A 1512-2020</t>
        </is>
      </c>
      <c r="B51" s="1" t="n">
        <v>43826</v>
      </c>
      <c r="C51" s="1" t="n">
        <v>45513</v>
      </c>
      <c r="D51" t="inlineStr">
        <is>
          <t>ÖREBRO LÄN</t>
        </is>
      </c>
      <c r="E51" t="inlineStr">
        <is>
          <t>ÖREBRO</t>
        </is>
      </c>
      <c r="G51" t="n">
        <v>6</v>
      </c>
      <c r="H51" t="n">
        <v>1</v>
      </c>
      <c r="I51" t="n">
        <v>0</v>
      </c>
      <c r="J51" t="n">
        <v>0</v>
      </c>
      <c r="K51" t="n">
        <v>0</v>
      </c>
      <c r="L51" t="n">
        <v>0</v>
      </c>
      <c r="M51" t="n">
        <v>0</v>
      </c>
      <c r="N51" t="n">
        <v>0</v>
      </c>
      <c r="O51" t="n">
        <v>0</v>
      </c>
      <c r="P51" t="n">
        <v>0</v>
      </c>
      <c r="Q51" t="n">
        <v>1</v>
      </c>
      <c r="R51" s="2" t="inlineStr">
        <is>
          <t>Revlummer</t>
        </is>
      </c>
      <c r="S51">
        <f>HYPERLINK("https://klasma.github.io/Logging_1880/artfynd/A 1512-2020 artfynd.xlsx", "A 1512-2020")</f>
        <v/>
      </c>
      <c r="T51">
        <f>HYPERLINK("https://klasma.github.io/Logging_1880/kartor/A 1512-2020 karta.png", "A 1512-2020")</f>
        <v/>
      </c>
      <c r="V51">
        <f>HYPERLINK("https://klasma.github.io/Logging_1880/klagomål/A 1512-2020 FSC-klagomål.docx", "A 1512-2020")</f>
        <v/>
      </c>
      <c r="W51">
        <f>HYPERLINK("https://klasma.github.io/Logging_1880/klagomålsmail/A 1512-2020 FSC-klagomål mail.docx", "A 1512-2020")</f>
        <v/>
      </c>
      <c r="X51">
        <f>HYPERLINK("https://klasma.github.io/Logging_1880/tillsyn/A 1512-2020 tillsynsbegäran.docx", "A 1512-2020")</f>
        <v/>
      </c>
      <c r="Y51">
        <f>HYPERLINK("https://klasma.github.io/Logging_1880/tillsynsmail/A 1512-2020 tillsynsbegäran mail.docx", "A 1512-2020")</f>
        <v/>
      </c>
    </row>
    <row r="52" ht="15" customHeight="1">
      <c r="A52" t="inlineStr">
        <is>
          <t>A 2697-2020</t>
        </is>
      </c>
      <c r="B52" s="1" t="n">
        <v>43843</v>
      </c>
      <c r="C52" s="1" t="n">
        <v>45513</v>
      </c>
      <c r="D52" t="inlineStr">
        <is>
          <t>ÖREBRO LÄN</t>
        </is>
      </c>
      <c r="E52" t="inlineStr">
        <is>
          <t>ÖREBRO</t>
        </is>
      </c>
      <c r="G52" t="n">
        <v>5</v>
      </c>
      <c r="H52" t="n">
        <v>0</v>
      </c>
      <c r="I52" t="n">
        <v>1</v>
      </c>
      <c r="J52" t="n">
        <v>0</v>
      </c>
      <c r="K52" t="n">
        <v>0</v>
      </c>
      <c r="L52" t="n">
        <v>0</v>
      </c>
      <c r="M52" t="n">
        <v>0</v>
      </c>
      <c r="N52" t="n">
        <v>0</v>
      </c>
      <c r="O52" t="n">
        <v>0</v>
      </c>
      <c r="P52" t="n">
        <v>0</v>
      </c>
      <c r="Q52" t="n">
        <v>1</v>
      </c>
      <c r="R52" s="2" t="inlineStr">
        <is>
          <t>Springkorn</t>
        </is>
      </c>
      <c r="S52">
        <f>HYPERLINK("https://klasma.github.io/Logging_1880/artfynd/A 2697-2020 artfynd.xlsx", "A 2697-2020")</f>
        <v/>
      </c>
      <c r="T52">
        <f>HYPERLINK("https://klasma.github.io/Logging_1880/kartor/A 2697-2020 karta.png", "A 2697-2020")</f>
        <v/>
      </c>
      <c r="V52">
        <f>HYPERLINK("https://klasma.github.io/Logging_1880/klagomål/A 2697-2020 FSC-klagomål.docx", "A 2697-2020")</f>
        <v/>
      </c>
      <c r="W52">
        <f>HYPERLINK("https://klasma.github.io/Logging_1880/klagomålsmail/A 2697-2020 FSC-klagomål mail.docx", "A 2697-2020")</f>
        <v/>
      </c>
      <c r="X52">
        <f>HYPERLINK("https://klasma.github.io/Logging_1880/tillsyn/A 2697-2020 tillsynsbegäran.docx", "A 2697-2020")</f>
        <v/>
      </c>
      <c r="Y52">
        <f>HYPERLINK("https://klasma.github.io/Logging_1880/tillsynsmail/A 2697-2020 tillsynsbegäran mail.docx", "A 2697-2020")</f>
        <v/>
      </c>
    </row>
    <row r="53" ht="15" customHeight="1">
      <c r="A53" t="inlineStr">
        <is>
          <t>A 1571-2020</t>
        </is>
      </c>
      <c r="B53" s="1" t="n">
        <v>43844</v>
      </c>
      <c r="C53" s="1" t="n">
        <v>45513</v>
      </c>
      <c r="D53" t="inlineStr">
        <is>
          <t>ÖREBRO LÄN</t>
        </is>
      </c>
      <c r="E53" t="inlineStr">
        <is>
          <t>ÖREBRO</t>
        </is>
      </c>
      <c r="G53" t="n">
        <v>2</v>
      </c>
      <c r="H53" t="n">
        <v>0</v>
      </c>
      <c r="I53" t="n">
        <v>0</v>
      </c>
      <c r="J53" t="n">
        <v>1</v>
      </c>
      <c r="K53" t="n">
        <v>0</v>
      </c>
      <c r="L53" t="n">
        <v>0</v>
      </c>
      <c r="M53" t="n">
        <v>0</v>
      </c>
      <c r="N53" t="n">
        <v>0</v>
      </c>
      <c r="O53" t="n">
        <v>1</v>
      </c>
      <c r="P53" t="n">
        <v>0</v>
      </c>
      <c r="Q53" t="n">
        <v>1</v>
      </c>
      <c r="R53" s="2" t="inlineStr">
        <is>
          <t>Ullticka</t>
        </is>
      </c>
      <c r="S53">
        <f>HYPERLINK("https://klasma.github.io/Logging_1880/artfynd/A 1571-2020 artfynd.xlsx", "A 1571-2020")</f>
        <v/>
      </c>
      <c r="T53">
        <f>HYPERLINK("https://klasma.github.io/Logging_1880/kartor/A 1571-2020 karta.png", "A 1571-2020")</f>
        <v/>
      </c>
      <c r="V53">
        <f>HYPERLINK("https://klasma.github.io/Logging_1880/klagomål/A 1571-2020 FSC-klagomål.docx", "A 1571-2020")</f>
        <v/>
      </c>
      <c r="W53">
        <f>HYPERLINK("https://klasma.github.io/Logging_1880/klagomålsmail/A 1571-2020 FSC-klagomål mail.docx", "A 1571-2020")</f>
        <v/>
      </c>
      <c r="X53">
        <f>HYPERLINK("https://klasma.github.io/Logging_1880/tillsyn/A 1571-2020 tillsynsbegäran.docx", "A 1571-2020")</f>
        <v/>
      </c>
      <c r="Y53">
        <f>HYPERLINK("https://klasma.github.io/Logging_1880/tillsynsmail/A 1571-2020 tillsynsbegäran mail.docx", "A 1571-2020")</f>
        <v/>
      </c>
    </row>
    <row r="54" ht="15" customHeight="1">
      <c r="A54" t="inlineStr">
        <is>
          <t>A 13831-2020</t>
        </is>
      </c>
      <c r="B54" s="1" t="n">
        <v>43905</v>
      </c>
      <c r="C54" s="1" t="n">
        <v>45513</v>
      </c>
      <c r="D54" t="inlineStr">
        <is>
          <t>ÖREBRO LÄN</t>
        </is>
      </c>
      <c r="E54" t="inlineStr">
        <is>
          <t>ÖREBRO</t>
        </is>
      </c>
      <c r="G54" t="n">
        <v>7.5</v>
      </c>
      <c r="H54" t="n">
        <v>0</v>
      </c>
      <c r="I54" t="n">
        <v>1</v>
      </c>
      <c r="J54" t="n">
        <v>0</v>
      </c>
      <c r="K54" t="n">
        <v>0</v>
      </c>
      <c r="L54" t="n">
        <v>0</v>
      </c>
      <c r="M54" t="n">
        <v>0</v>
      </c>
      <c r="N54" t="n">
        <v>0</v>
      </c>
      <c r="O54" t="n">
        <v>0</v>
      </c>
      <c r="P54" t="n">
        <v>0</v>
      </c>
      <c r="Q54" t="n">
        <v>1</v>
      </c>
      <c r="R54" s="2" t="inlineStr">
        <is>
          <t>Vätteros</t>
        </is>
      </c>
      <c r="S54">
        <f>HYPERLINK("https://klasma.github.io/Logging_1880/artfynd/A 13831-2020 artfynd.xlsx", "A 13831-2020")</f>
        <v/>
      </c>
      <c r="T54">
        <f>HYPERLINK("https://klasma.github.io/Logging_1880/kartor/A 13831-2020 karta.png", "A 13831-2020")</f>
        <v/>
      </c>
      <c r="V54">
        <f>HYPERLINK("https://klasma.github.io/Logging_1880/klagomål/A 13831-2020 FSC-klagomål.docx", "A 13831-2020")</f>
        <v/>
      </c>
      <c r="W54">
        <f>HYPERLINK("https://klasma.github.io/Logging_1880/klagomålsmail/A 13831-2020 FSC-klagomål mail.docx", "A 13831-2020")</f>
        <v/>
      </c>
      <c r="X54">
        <f>HYPERLINK("https://klasma.github.io/Logging_1880/tillsyn/A 13831-2020 tillsynsbegäran.docx", "A 13831-2020")</f>
        <v/>
      </c>
      <c r="Y54">
        <f>HYPERLINK("https://klasma.github.io/Logging_1880/tillsynsmail/A 13831-2020 tillsynsbegäran mail.docx", "A 13831-2020")</f>
        <v/>
      </c>
    </row>
    <row r="55" ht="15" customHeight="1">
      <c r="A55" t="inlineStr">
        <is>
          <t>A 25192-2020</t>
        </is>
      </c>
      <c r="B55" s="1" t="n">
        <v>43980</v>
      </c>
      <c r="C55" s="1" t="n">
        <v>45513</v>
      </c>
      <c r="D55" t="inlineStr">
        <is>
          <t>ÖREBRO LÄN</t>
        </is>
      </c>
      <c r="E55" t="inlineStr">
        <is>
          <t>ÖREBRO</t>
        </is>
      </c>
      <c r="F55" t="inlineStr">
        <is>
          <t>Övriga Aktiebolag</t>
        </is>
      </c>
      <c r="G55" t="n">
        <v>1.5</v>
      </c>
      <c r="H55" t="n">
        <v>1</v>
      </c>
      <c r="I55" t="n">
        <v>1</v>
      </c>
      <c r="J55" t="n">
        <v>0</v>
      </c>
      <c r="K55" t="n">
        <v>0</v>
      </c>
      <c r="L55" t="n">
        <v>0</v>
      </c>
      <c r="M55" t="n">
        <v>0</v>
      </c>
      <c r="N55" t="n">
        <v>0</v>
      </c>
      <c r="O55" t="n">
        <v>0</v>
      </c>
      <c r="P55" t="n">
        <v>0</v>
      </c>
      <c r="Q55" t="n">
        <v>1</v>
      </c>
      <c r="R55" s="2" t="inlineStr">
        <is>
          <t>Spindelblomster</t>
        </is>
      </c>
      <c r="S55">
        <f>HYPERLINK("https://klasma.github.io/Logging_1880/artfynd/A 25192-2020 artfynd.xlsx", "A 25192-2020")</f>
        <v/>
      </c>
      <c r="T55">
        <f>HYPERLINK("https://klasma.github.io/Logging_1880/kartor/A 25192-2020 karta.png", "A 25192-2020")</f>
        <v/>
      </c>
      <c r="V55">
        <f>HYPERLINK("https://klasma.github.io/Logging_1880/klagomål/A 25192-2020 FSC-klagomål.docx", "A 25192-2020")</f>
        <v/>
      </c>
      <c r="W55">
        <f>HYPERLINK("https://klasma.github.io/Logging_1880/klagomålsmail/A 25192-2020 FSC-klagomål mail.docx", "A 25192-2020")</f>
        <v/>
      </c>
      <c r="X55">
        <f>HYPERLINK("https://klasma.github.io/Logging_1880/tillsyn/A 25192-2020 tillsynsbegäran.docx", "A 25192-2020")</f>
        <v/>
      </c>
      <c r="Y55">
        <f>HYPERLINK("https://klasma.github.io/Logging_1880/tillsynsmail/A 25192-2020 tillsynsbegäran mail.docx", "A 25192-2020")</f>
        <v/>
      </c>
    </row>
    <row r="56" ht="15" customHeight="1">
      <c r="A56" t="inlineStr">
        <is>
          <t>A 26426-2020</t>
        </is>
      </c>
      <c r="B56" s="1" t="n">
        <v>43986</v>
      </c>
      <c r="C56" s="1" t="n">
        <v>45513</v>
      </c>
      <c r="D56" t="inlineStr">
        <is>
          <t>ÖREBRO LÄN</t>
        </is>
      </c>
      <c r="E56" t="inlineStr">
        <is>
          <t>ÖREBRO</t>
        </is>
      </c>
      <c r="G56" t="n">
        <v>1</v>
      </c>
      <c r="H56" t="n">
        <v>0</v>
      </c>
      <c r="I56" t="n">
        <v>0</v>
      </c>
      <c r="J56" t="n">
        <v>0</v>
      </c>
      <c r="K56" t="n">
        <v>1</v>
      </c>
      <c r="L56" t="n">
        <v>0</v>
      </c>
      <c r="M56" t="n">
        <v>0</v>
      </c>
      <c r="N56" t="n">
        <v>0</v>
      </c>
      <c r="O56" t="n">
        <v>1</v>
      </c>
      <c r="P56" t="n">
        <v>1</v>
      </c>
      <c r="Q56" t="n">
        <v>1</v>
      </c>
      <c r="R56" s="2" t="inlineStr">
        <is>
          <t>Slöjröksvamp</t>
        </is>
      </c>
      <c r="S56">
        <f>HYPERLINK("https://klasma.github.io/Logging_1880/artfynd/A 26426-2020 artfynd.xlsx", "A 26426-2020")</f>
        <v/>
      </c>
      <c r="T56">
        <f>HYPERLINK("https://klasma.github.io/Logging_1880/kartor/A 26426-2020 karta.png", "A 26426-2020")</f>
        <v/>
      </c>
      <c r="V56">
        <f>HYPERLINK("https://klasma.github.io/Logging_1880/klagomål/A 26426-2020 FSC-klagomål.docx", "A 26426-2020")</f>
        <v/>
      </c>
      <c r="W56">
        <f>HYPERLINK("https://klasma.github.io/Logging_1880/klagomålsmail/A 26426-2020 FSC-klagomål mail.docx", "A 26426-2020")</f>
        <v/>
      </c>
      <c r="X56">
        <f>HYPERLINK("https://klasma.github.io/Logging_1880/tillsyn/A 26426-2020 tillsynsbegäran.docx", "A 26426-2020")</f>
        <v/>
      </c>
      <c r="Y56">
        <f>HYPERLINK("https://klasma.github.io/Logging_1880/tillsynsmail/A 26426-2020 tillsynsbegäran mail.docx", "A 26426-2020")</f>
        <v/>
      </c>
    </row>
    <row r="57" ht="15" customHeight="1">
      <c r="A57" t="inlineStr">
        <is>
          <t>A 28103-2020</t>
        </is>
      </c>
      <c r="B57" s="1" t="n">
        <v>43997</v>
      </c>
      <c r="C57" s="1" t="n">
        <v>45513</v>
      </c>
      <c r="D57" t="inlineStr">
        <is>
          <t>ÖREBRO LÄN</t>
        </is>
      </c>
      <c r="E57" t="inlineStr">
        <is>
          <t>ÖREBRO</t>
        </is>
      </c>
      <c r="G57" t="n">
        <v>1.6</v>
      </c>
      <c r="H57" t="n">
        <v>1</v>
      </c>
      <c r="I57" t="n">
        <v>0</v>
      </c>
      <c r="J57" t="n">
        <v>0</v>
      </c>
      <c r="K57" t="n">
        <v>1</v>
      </c>
      <c r="L57" t="n">
        <v>0</v>
      </c>
      <c r="M57" t="n">
        <v>0</v>
      </c>
      <c r="N57" t="n">
        <v>0</v>
      </c>
      <c r="O57" t="n">
        <v>1</v>
      </c>
      <c r="P57" t="n">
        <v>1</v>
      </c>
      <c r="Q57" t="n">
        <v>1</v>
      </c>
      <c r="R57" s="2" t="inlineStr">
        <is>
          <t>Knärot</t>
        </is>
      </c>
      <c r="S57">
        <f>HYPERLINK("https://klasma.github.io/Logging_1880/artfynd/A 28103-2020 artfynd.xlsx", "A 28103-2020")</f>
        <v/>
      </c>
      <c r="T57">
        <f>HYPERLINK("https://klasma.github.io/Logging_1880/kartor/A 28103-2020 karta.png", "A 28103-2020")</f>
        <v/>
      </c>
      <c r="U57">
        <f>HYPERLINK("https://klasma.github.io/Logging_1880/knärot/A 28103-2020 karta knärot.png", "A 28103-2020")</f>
        <v/>
      </c>
      <c r="V57">
        <f>HYPERLINK("https://klasma.github.io/Logging_1880/klagomål/A 28103-2020 FSC-klagomål.docx", "A 28103-2020")</f>
        <v/>
      </c>
      <c r="W57">
        <f>HYPERLINK("https://klasma.github.io/Logging_1880/klagomålsmail/A 28103-2020 FSC-klagomål mail.docx", "A 28103-2020")</f>
        <v/>
      </c>
      <c r="X57">
        <f>HYPERLINK("https://klasma.github.io/Logging_1880/tillsyn/A 28103-2020 tillsynsbegäran.docx", "A 28103-2020")</f>
        <v/>
      </c>
      <c r="Y57">
        <f>HYPERLINK("https://klasma.github.io/Logging_1880/tillsynsmail/A 28103-2020 tillsynsbegäran mail.docx", "A 28103-2020")</f>
        <v/>
      </c>
    </row>
    <row r="58" ht="15" customHeight="1">
      <c r="A58" t="inlineStr">
        <is>
          <t>A 28710-2020</t>
        </is>
      </c>
      <c r="B58" s="1" t="n">
        <v>43998</v>
      </c>
      <c r="C58" s="1" t="n">
        <v>45513</v>
      </c>
      <c r="D58" t="inlineStr">
        <is>
          <t>ÖREBRO LÄN</t>
        </is>
      </c>
      <c r="E58" t="inlineStr">
        <is>
          <t>ÖREBRO</t>
        </is>
      </c>
      <c r="F58" t="inlineStr">
        <is>
          <t>Kommuner</t>
        </is>
      </c>
      <c r="G58" t="n">
        <v>1</v>
      </c>
      <c r="H58" t="n">
        <v>0</v>
      </c>
      <c r="I58" t="n">
        <v>0</v>
      </c>
      <c r="J58" t="n">
        <v>1</v>
      </c>
      <c r="K58" t="n">
        <v>0</v>
      </c>
      <c r="L58" t="n">
        <v>0</v>
      </c>
      <c r="M58" t="n">
        <v>0</v>
      </c>
      <c r="N58" t="n">
        <v>0</v>
      </c>
      <c r="O58" t="n">
        <v>1</v>
      </c>
      <c r="P58" t="n">
        <v>0</v>
      </c>
      <c r="Q58" t="n">
        <v>1</v>
      </c>
      <c r="R58" s="2" t="inlineStr">
        <is>
          <t>Ullticka</t>
        </is>
      </c>
      <c r="S58">
        <f>HYPERLINK("https://klasma.github.io/Logging_1880/artfynd/A 28710-2020 artfynd.xlsx", "A 28710-2020")</f>
        <v/>
      </c>
      <c r="T58">
        <f>HYPERLINK("https://klasma.github.io/Logging_1880/kartor/A 28710-2020 karta.png", "A 28710-2020")</f>
        <v/>
      </c>
      <c r="V58">
        <f>HYPERLINK("https://klasma.github.io/Logging_1880/klagomål/A 28710-2020 FSC-klagomål.docx", "A 28710-2020")</f>
        <v/>
      </c>
      <c r="W58">
        <f>HYPERLINK("https://klasma.github.io/Logging_1880/klagomålsmail/A 28710-2020 FSC-klagomål mail.docx", "A 28710-2020")</f>
        <v/>
      </c>
      <c r="X58">
        <f>HYPERLINK("https://klasma.github.io/Logging_1880/tillsyn/A 28710-2020 tillsynsbegäran.docx", "A 28710-2020")</f>
        <v/>
      </c>
      <c r="Y58">
        <f>HYPERLINK("https://klasma.github.io/Logging_1880/tillsynsmail/A 28710-2020 tillsynsbegäran mail.docx", "A 28710-2020")</f>
        <v/>
      </c>
    </row>
    <row r="59" ht="15" customHeight="1">
      <c r="A59" t="inlineStr">
        <is>
          <t>A 29454-2020</t>
        </is>
      </c>
      <c r="B59" s="1" t="n">
        <v>44004</v>
      </c>
      <c r="C59" s="1" t="n">
        <v>45513</v>
      </c>
      <c r="D59" t="inlineStr">
        <is>
          <t>ÖREBRO LÄN</t>
        </is>
      </c>
      <c r="E59" t="inlineStr">
        <is>
          <t>ÖREBRO</t>
        </is>
      </c>
      <c r="G59" t="n">
        <v>5</v>
      </c>
      <c r="H59" t="n">
        <v>0</v>
      </c>
      <c r="I59" t="n">
        <v>0</v>
      </c>
      <c r="J59" t="n">
        <v>1</v>
      </c>
      <c r="K59" t="n">
        <v>0</v>
      </c>
      <c r="L59" t="n">
        <v>0</v>
      </c>
      <c r="M59" t="n">
        <v>0</v>
      </c>
      <c r="N59" t="n">
        <v>0</v>
      </c>
      <c r="O59" t="n">
        <v>1</v>
      </c>
      <c r="P59" t="n">
        <v>0</v>
      </c>
      <c r="Q59" t="n">
        <v>1</v>
      </c>
      <c r="R59" s="2" t="inlineStr">
        <is>
          <t>Stornopping</t>
        </is>
      </c>
      <c r="S59">
        <f>HYPERLINK("https://klasma.github.io/Logging_1880/artfynd/A 29454-2020 artfynd.xlsx", "A 29454-2020")</f>
        <v/>
      </c>
      <c r="T59">
        <f>HYPERLINK("https://klasma.github.io/Logging_1880/kartor/A 29454-2020 karta.png", "A 29454-2020")</f>
        <v/>
      </c>
      <c r="V59">
        <f>HYPERLINK("https://klasma.github.io/Logging_1880/klagomål/A 29454-2020 FSC-klagomål.docx", "A 29454-2020")</f>
        <v/>
      </c>
      <c r="W59">
        <f>HYPERLINK("https://klasma.github.io/Logging_1880/klagomålsmail/A 29454-2020 FSC-klagomål mail.docx", "A 29454-2020")</f>
        <v/>
      </c>
      <c r="X59">
        <f>HYPERLINK("https://klasma.github.io/Logging_1880/tillsyn/A 29454-2020 tillsynsbegäran.docx", "A 29454-2020")</f>
        <v/>
      </c>
      <c r="Y59">
        <f>HYPERLINK("https://klasma.github.io/Logging_1880/tillsynsmail/A 29454-2020 tillsynsbegäran mail.docx", "A 29454-2020")</f>
        <v/>
      </c>
    </row>
    <row r="60" ht="15" customHeight="1">
      <c r="A60" t="inlineStr">
        <is>
          <t>A 58966-2020</t>
        </is>
      </c>
      <c r="B60" s="1" t="n">
        <v>44146</v>
      </c>
      <c r="C60" s="1" t="n">
        <v>45513</v>
      </c>
      <c r="D60" t="inlineStr">
        <is>
          <t>ÖREBRO LÄN</t>
        </is>
      </c>
      <c r="E60" t="inlineStr">
        <is>
          <t>ÖREBRO</t>
        </is>
      </c>
      <c r="F60" t="inlineStr">
        <is>
          <t>Övriga Aktiebolag</t>
        </is>
      </c>
      <c r="G60" t="n">
        <v>1.2</v>
      </c>
      <c r="H60" t="n">
        <v>1</v>
      </c>
      <c r="I60" t="n">
        <v>0</v>
      </c>
      <c r="J60" t="n">
        <v>1</v>
      </c>
      <c r="K60" t="n">
        <v>0</v>
      </c>
      <c r="L60" t="n">
        <v>0</v>
      </c>
      <c r="M60" t="n">
        <v>0</v>
      </c>
      <c r="N60" t="n">
        <v>0</v>
      </c>
      <c r="O60" t="n">
        <v>1</v>
      </c>
      <c r="P60" t="n">
        <v>0</v>
      </c>
      <c r="Q60" t="n">
        <v>1</v>
      </c>
      <c r="R60" s="2" t="inlineStr">
        <is>
          <t>Kråka</t>
        </is>
      </c>
      <c r="S60">
        <f>HYPERLINK("https://klasma.github.io/Logging_1880/artfynd/A 58966-2020 artfynd.xlsx", "A 58966-2020")</f>
        <v/>
      </c>
      <c r="T60">
        <f>HYPERLINK("https://klasma.github.io/Logging_1880/kartor/A 58966-2020 karta.png", "A 58966-2020")</f>
        <v/>
      </c>
      <c r="V60">
        <f>HYPERLINK("https://klasma.github.io/Logging_1880/klagomål/A 58966-2020 FSC-klagomål.docx", "A 58966-2020")</f>
        <v/>
      </c>
      <c r="W60">
        <f>HYPERLINK("https://klasma.github.io/Logging_1880/klagomålsmail/A 58966-2020 FSC-klagomål mail.docx", "A 58966-2020")</f>
        <v/>
      </c>
      <c r="X60">
        <f>HYPERLINK("https://klasma.github.io/Logging_1880/tillsyn/A 58966-2020 tillsynsbegäran.docx", "A 58966-2020")</f>
        <v/>
      </c>
      <c r="Y60">
        <f>HYPERLINK("https://klasma.github.io/Logging_1880/tillsynsmail/A 58966-2020 tillsynsbegäran mail.docx", "A 58966-2020")</f>
        <v/>
      </c>
      <c r="Z60">
        <f>HYPERLINK("https://klasma.github.io/Logging_1880/fåglar/A 58966-2020 prioriterade fågelarter.docx", "A 58966-2020")</f>
        <v/>
      </c>
    </row>
    <row r="61" ht="15" customHeight="1">
      <c r="A61" t="inlineStr">
        <is>
          <t>A 4014-2021</t>
        </is>
      </c>
      <c r="B61" s="1" t="n">
        <v>44218</v>
      </c>
      <c r="C61" s="1" t="n">
        <v>45513</v>
      </c>
      <c r="D61" t="inlineStr">
        <is>
          <t>ÖREBRO LÄN</t>
        </is>
      </c>
      <c r="E61" t="inlineStr">
        <is>
          <t>ÖREBRO</t>
        </is>
      </c>
      <c r="G61" t="n">
        <v>10.5</v>
      </c>
      <c r="H61" t="n">
        <v>0</v>
      </c>
      <c r="I61" t="n">
        <v>1</v>
      </c>
      <c r="J61" t="n">
        <v>0</v>
      </c>
      <c r="K61" t="n">
        <v>0</v>
      </c>
      <c r="L61" t="n">
        <v>0</v>
      </c>
      <c r="M61" t="n">
        <v>0</v>
      </c>
      <c r="N61" t="n">
        <v>0</v>
      </c>
      <c r="O61" t="n">
        <v>0</v>
      </c>
      <c r="P61" t="n">
        <v>0</v>
      </c>
      <c r="Q61" t="n">
        <v>1</v>
      </c>
      <c r="R61" s="2" t="inlineStr">
        <is>
          <t>Springkorn</t>
        </is>
      </c>
      <c r="S61">
        <f>HYPERLINK("https://klasma.github.io/Logging_1880/artfynd/A 4014-2021 artfynd.xlsx", "A 4014-2021")</f>
        <v/>
      </c>
      <c r="T61">
        <f>HYPERLINK("https://klasma.github.io/Logging_1880/kartor/A 4014-2021 karta.png", "A 4014-2021")</f>
        <v/>
      </c>
      <c r="V61">
        <f>HYPERLINK("https://klasma.github.io/Logging_1880/klagomål/A 4014-2021 FSC-klagomål.docx", "A 4014-2021")</f>
        <v/>
      </c>
      <c r="W61">
        <f>HYPERLINK("https://klasma.github.io/Logging_1880/klagomålsmail/A 4014-2021 FSC-klagomål mail.docx", "A 4014-2021")</f>
        <v/>
      </c>
      <c r="X61">
        <f>HYPERLINK("https://klasma.github.io/Logging_1880/tillsyn/A 4014-2021 tillsynsbegäran.docx", "A 4014-2021")</f>
        <v/>
      </c>
      <c r="Y61">
        <f>HYPERLINK("https://klasma.github.io/Logging_1880/tillsynsmail/A 4014-2021 tillsynsbegäran mail.docx", "A 4014-2021")</f>
        <v/>
      </c>
    </row>
    <row r="62" ht="15" customHeight="1">
      <c r="A62" t="inlineStr">
        <is>
          <t>A 6926-2021</t>
        </is>
      </c>
      <c r="B62" s="1" t="n">
        <v>44237</v>
      </c>
      <c r="C62" s="1" t="n">
        <v>45513</v>
      </c>
      <c r="D62" t="inlineStr">
        <is>
          <t>ÖREBRO LÄN</t>
        </is>
      </c>
      <c r="E62" t="inlineStr">
        <is>
          <t>ÖREBRO</t>
        </is>
      </c>
      <c r="G62" t="n">
        <v>0.9</v>
      </c>
      <c r="H62" t="n">
        <v>1</v>
      </c>
      <c r="I62" t="n">
        <v>1</v>
      </c>
      <c r="J62" t="n">
        <v>0</v>
      </c>
      <c r="K62" t="n">
        <v>0</v>
      </c>
      <c r="L62" t="n">
        <v>0</v>
      </c>
      <c r="M62" t="n">
        <v>0</v>
      </c>
      <c r="N62" t="n">
        <v>0</v>
      </c>
      <c r="O62" t="n">
        <v>0</v>
      </c>
      <c r="P62" t="n">
        <v>0</v>
      </c>
      <c r="Q62" t="n">
        <v>1</v>
      </c>
      <c r="R62" s="2" t="inlineStr">
        <is>
          <t>Skogsknipprot</t>
        </is>
      </c>
      <c r="S62">
        <f>HYPERLINK("https://klasma.github.io/Logging_1880/artfynd/A 6926-2021 artfynd.xlsx", "A 6926-2021")</f>
        <v/>
      </c>
      <c r="T62">
        <f>HYPERLINK("https://klasma.github.io/Logging_1880/kartor/A 6926-2021 karta.png", "A 6926-2021")</f>
        <v/>
      </c>
      <c r="V62">
        <f>HYPERLINK("https://klasma.github.io/Logging_1880/klagomål/A 6926-2021 FSC-klagomål.docx", "A 6926-2021")</f>
        <v/>
      </c>
      <c r="W62">
        <f>HYPERLINK("https://klasma.github.io/Logging_1880/klagomålsmail/A 6926-2021 FSC-klagomål mail.docx", "A 6926-2021")</f>
        <v/>
      </c>
      <c r="X62">
        <f>HYPERLINK("https://klasma.github.io/Logging_1880/tillsyn/A 6926-2021 tillsynsbegäran.docx", "A 6926-2021")</f>
        <v/>
      </c>
      <c r="Y62">
        <f>HYPERLINK("https://klasma.github.io/Logging_1880/tillsynsmail/A 6926-2021 tillsynsbegäran mail.docx", "A 6926-2021")</f>
        <v/>
      </c>
    </row>
    <row r="63" ht="15" customHeight="1">
      <c r="A63" t="inlineStr">
        <is>
          <t>A 8256-2021</t>
        </is>
      </c>
      <c r="B63" s="1" t="n">
        <v>44244</v>
      </c>
      <c r="C63" s="1" t="n">
        <v>45513</v>
      </c>
      <c r="D63" t="inlineStr">
        <is>
          <t>ÖREBRO LÄN</t>
        </is>
      </c>
      <c r="E63" t="inlineStr">
        <is>
          <t>ÖREBRO</t>
        </is>
      </c>
      <c r="G63" t="n">
        <v>1</v>
      </c>
      <c r="H63" t="n">
        <v>0</v>
      </c>
      <c r="I63" t="n">
        <v>1</v>
      </c>
      <c r="J63" t="n">
        <v>0</v>
      </c>
      <c r="K63" t="n">
        <v>0</v>
      </c>
      <c r="L63" t="n">
        <v>0</v>
      </c>
      <c r="M63" t="n">
        <v>0</v>
      </c>
      <c r="N63" t="n">
        <v>0</v>
      </c>
      <c r="O63" t="n">
        <v>0</v>
      </c>
      <c r="P63" t="n">
        <v>0</v>
      </c>
      <c r="Q63" t="n">
        <v>1</v>
      </c>
      <c r="R63" s="2" t="inlineStr">
        <is>
          <t>Svart trolldruva</t>
        </is>
      </c>
      <c r="S63">
        <f>HYPERLINK("https://klasma.github.io/Logging_1880/artfynd/A 8256-2021 artfynd.xlsx", "A 8256-2021")</f>
        <v/>
      </c>
      <c r="T63">
        <f>HYPERLINK("https://klasma.github.io/Logging_1880/kartor/A 8256-2021 karta.png", "A 8256-2021")</f>
        <v/>
      </c>
      <c r="V63">
        <f>HYPERLINK("https://klasma.github.io/Logging_1880/klagomål/A 8256-2021 FSC-klagomål.docx", "A 8256-2021")</f>
        <v/>
      </c>
      <c r="W63">
        <f>HYPERLINK("https://klasma.github.io/Logging_1880/klagomålsmail/A 8256-2021 FSC-klagomål mail.docx", "A 8256-2021")</f>
        <v/>
      </c>
      <c r="X63">
        <f>HYPERLINK("https://klasma.github.io/Logging_1880/tillsyn/A 8256-2021 tillsynsbegäran.docx", "A 8256-2021")</f>
        <v/>
      </c>
      <c r="Y63">
        <f>HYPERLINK("https://klasma.github.io/Logging_1880/tillsynsmail/A 8256-2021 tillsynsbegäran mail.docx", "A 8256-2021")</f>
        <v/>
      </c>
    </row>
    <row r="64" ht="15" customHeight="1">
      <c r="A64" t="inlineStr">
        <is>
          <t>A 8577-2021</t>
        </is>
      </c>
      <c r="B64" s="1" t="n">
        <v>44245</v>
      </c>
      <c r="C64" s="1" t="n">
        <v>45513</v>
      </c>
      <c r="D64" t="inlineStr">
        <is>
          <t>ÖREBRO LÄN</t>
        </is>
      </c>
      <c r="E64" t="inlineStr">
        <is>
          <t>ÖREBRO</t>
        </is>
      </c>
      <c r="G64" t="n">
        <v>6.5</v>
      </c>
      <c r="H64" t="n">
        <v>0</v>
      </c>
      <c r="I64" t="n">
        <v>1</v>
      </c>
      <c r="J64" t="n">
        <v>0</v>
      </c>
      <c r="K64" t="n">
        <v>0</v>
      </c>
      <c r="L64" t="n">
        <v>0</v>
      </c>
      <c r="M64" t="n">
        <v>0</v>
      </c>
      <c r="N64" t="n">
        <v>0</v>
      </c>
      <c r="O64" t="n">
        <v>0</v>
      </c>
      <c r="P64" t="n">
        <v>0</v>
      </c>
      <c r="Q64" t="n">
        <v>1</v>
      </c>
      <c r="R64" s="2" t="inlineStr">
        <is>
          <t>Spädstarr</t>
        </is>
      </c>
      <c r="S64">
        <f>HYPERLINK("https://klasma.github.io/Logging_1880/artfynd/A 8577-2021 artfynd.xlsx", "A 8577-2021")</f>
        <v/>
      </c>
      <c r="T64">
        <f>HYPERLINK("https://klasma.github.io/Logging_1880/kartor/A 8577-2021 karta.png", "A 8577-2021")</f>
        <v/>
      </c>
      <c r="V64">
        <f>HYPERLINK("https://klasma.github.io/Logging_1880/klagomål/A 8577-2021 FSC-klagomål.docx", "A 8577-2021")</f>
        <v/>
      </c>
      <c r="W64">
        <f>HYPERLINK("https://klasma.github.io/Logging_1880/klagomålsmail/A 8577-2021 FSC-klagomål mail.docx", "A 8577-2021")</f>
        <v/>
      </c>
      <c r="X64">
        <f>HYPERLINK("https://klasma.github.io/Logging_1880/tillsyn/A 8577-2021 tillsynsbegäran.docx", "A 8577-2021")</f>
        <v/>
      </c>
      <c r="Y64">
        <f>HYPERLINK("https://klasma.github.io/Logging_1880/tillsynsmail/A 8577-2021 tillsynsbegäran mail.docx", "A 8577-2021")</f>
        <v/>
      </c>
    </row>
    <row r="65" ht="15" customHeight="1">
      <c r="A65" t="inlineStr">
        <is>
          <t>A 15621-2021</t>
        </is>
      </c>
      <c r="B65" s="1" t="n">
        <v>44285</v>
      </c>
      <c r="C65" s="1" t="n">
        <v>45513</v>
      </c>
      <c r="D65" t="inlineStr">
        <is>
          <t>ÖREBRO LÄN</t>
        </is>
      </c>
      <c r="E65" t="inlineStr">
        <is>
          <t>ÖREBRO</t>
        </is>
      </c>
      <c r="G65" t="n">
        <v>2.8</v>
      </c>
      <c r="H65" t="n">
        <v>1</v>
      </c>
      <c r="I65" t="n">
        <v>0</v>
      </c>
      <c r="J65" t="n">
        <v>0</v>
      </c>
      <c r="K65" t="n">
        <v>0</v>
      </c>
      <c r="L65" t="n">
        <v>0</v>
      </c>
      <c r="M65" t="n">
        <v>0</v>
      </c>
      <c r="N65" t="n">
        <v>0</v>
      </c>
      <c r="O65" t="n">
        <v>0</v>
      </c>
      <c r="P65" t="n">
        <v>0</v>
      </c>
      <c r="Q65" t="n">
        <v>1</v>
      </c>
      <c r="R65" s="2" t="inlineStr">
        <is>
          <t>Fläcknycklar</t>
        </is>
      </c>
      <c r="S65">
        <f>HYPERLINK("https://klasma.github.io/Logging_1880/artfynd/A 15621-2021 artfynd.xlsx", "A 15621-2021")</f>
        <v/>
      </c>
      <c r="T65">
        <f>HYPERLINK("https://klasma.github.io/Logging_1880/kartor/A 15621-2021 karta.png", "A 15621-2021")</f>
        <v/>
      </c>
      <c r="V65">
        <f>HYPERLINK("https://klasma.github.io/Logging_1880/klagomål/A 15621-2021 FSC-klagomål.docx", "A 15621-2021")</f>
        <v/>
      </c>
      <c r="W65">
        <f>HYPERLINK("https://klasma.github.io/Logging_1880/klagomålsmail/A 15621-2021 FSC-klagomål mail.docx", "A 15621-2021")</f>
        <v/>
      </c>
      <c r="X65">
        <f>HYPERLINK("https://klasma.github.io/Logging_1880/tillsyn/A 15621-2021 tillsynsbegäran.docx", "A 15621-2021")</f>
        <v/>
      </c>
      <c r="Y65">
        <f>HYPERLINK("https://klasma.github.io/Logging_1880/tillsynsmail/A 15621-2021 tillsynsbegäran mail.docx", "A 15621-2021")</f>
        <v/>
      </c>
    </row>
    <row r="66" ht="15" customHeight="1">
      <c r="A66" t="inlineStr">
        <is>
          <t>A 32595-2021</t>
        </is>
      </c>
      <c r="B66" s="1" t="n">
        <v>44375</v>
      </c>
      <c r="C66" s="1" t="n">
        <v>45513</v>
      </c>
      <c r="D66" t="inlineStr">
        <is>
          <t>ÖREBRO LÄN</t>
        </is>
      </c>
      <c r="E66" t="inlineStr">
        <is>
          <t>ÖREBRO</t>
        </is>
      </c>
      <c r="F66" t="inlineStr">
        <is>
          <t>Kommuner</t>
        </is>
      </c>
      <c r="G66" t="n">
        <v>2.7</v>
      </c>
      <c r="H66" t="n">
        <v>1</v>
      </c>
      <c r="I66" t="n">
        <v>1</v>
      </c>
      <c r="J66" t="n">
        <v>0</v>
      </c>
      <c r="K66" t="n">
        <v>0</v>
      </c>
      <c r="L66" t="n">
        <v>0</v>
      </c>
      <c r="M66" t="n">
        <v>0</v>
      </c>
      <c r="N66" t="n">
        <v>0</v>
      </c>
      <c r="O66" t="n">
        <v>0</v>
      </c>
      <c r="P66" t="n">
        <v>0</v>
      </c>
      <c r="Q66" t="n">
        <v>1</v>
      </c>
      <c r="R66" s="2" t="inlineStr">
        <is>
          <t>Purpurknipprot</t>
        </is>
      </c>
      <c r="S66">
        <f>HYPERLINK("https://klasma.github.io/Logging_1880/artfynd/A 32595-2021 artfynd.xlsx", "A 32595-2021")</f>
        <v/>
      </c>
      <c r="T66">
        <f>HYPERLINK("https://klasma.github.io/Logging_1880/kartor/A 32595-2021 karta.png", "A 32595-2021")</f>
        <v/>
      </c>
      <c r="V66">
        <f>HYPERLINK("https://klasma.github.io/Logging_1880/klagomål/A 32595-2021 FSC-klagomål.docx", "A 32595-2021")</f>
        <v/>
      </c>
      <c r="W66">
        <f>HYPERLINK("https://klasma.github.io/Logging_1880/klagomålsmail/A 32595-2021 FSC-klagomål mail.docx", "A 32595-2021")</f>
        <v/>
      </c>
      <c r="X66">
        <f>HYPERLINK("https://klasma.github.io/Logging_1880/tillsyn/A 32595-2021 tillsynsbegäran.docx", "A 32595-2021")</f>
        <v/>
      </c>
      <c r="Y66">
        <f>HYPERLINK("https://klasma.github.io/Logging_1880/tillsynsmail/A 32595-2021 tillsynsbegäran mail.docx", "A 32595-2021")</f>
        <v/>
      </c>
    </row>
    <row r="67" ht="15" customHeight="1">
      <c r="A67" t="inlineStr">
        <is>
          <t>A 44052-2021</t>
        </is>
      </c>
      <c r="B67" s="1" t="n">
        <v>44434</v>
      </c>
      <c r="C67" s="1" t="n">
        <v>45513</v>
      </c>
      <c r="D67" t="inlineStr">
        <is>
          <t>ÖREBRO LÄN</t>
        </is>
      </c>
      <c r="E67" t="inlineStr">
        <is>
          <t>ÖREBRO</t>
        </is>
      </c>
      <c r="G67" t="n">
        <v>2.5</v>
      </c>
      <c r="H67" t="n">
        <v>1</v>
      </c>
      <c r="I67" t="n">
        <v>0</v>
      </c>
      <c r="J67" t="n">
        <v>1</v>
      </c>
      <c r="K67" t="n">
        <v>0</v>
      </c>
      <c r="L67" t="n">
        <v>0</v>
      </c>
      <c r="M67" t="n">
        <v>0</v>
      </c>
      <c r="N67" t="n">
        <v>0</v>
      </c>
      <c r="O67" t="n">
        <v>1</v>
      </c>
      <c r="P67" t="n">
        <v>0</v>
      </c>
      <c r="Q67" t="n">
        <v>1</v>
      </c>
      <c r="R67" s="2" t="inlineStr">
        <is>
          <t>Spillkråka</t>
        </is>
      </c>
      <c r="S67">
        <f>HYPERLINK("https://klasma.github.io/Logging_1880/artfynd/A 44052-2021 artfynd.xlsx", "A 44052-2021")</f>
        <v/>
      </c>
      <c r="T67">
        <f>HYPERLINK("https://klasma.github.io/Logging_1880/kartor/A 44052-2021 karta.png", "A 44052-2021")</f>
        <v/>
      </c>
      <c r="V67">
        <f>HYPERLINK("https://klasma.github.io/Logging_1880/klagomål/A 44052-2021 FSC-klagomål.docx", "A 44052-2021")</f>
        <v/>
      </c>
      <c r="W67">
        <f>HYPERLINK("https://klasma.github.io/Logging_1880/klagomålsmail/A 44052-2021 FSC-klagomål mail.docx", "A 44052-2021")</f>
        <v/>
      </c>
      <c r="X67">
        <f>HYPERLINK("https://klasma.github.io/Logging_1880/tillsyn/A 44052-2021 tillsynsbegäran.docx", "A 44052-2021")</f>
        <v/>
      </c>
      <c r="Y67">
        <f>HYPERLINK("https://klasma.github.io/Logging_1880/tillsynsmail/A 44052-2021 tillsynsbegäran mail.docx", "A 44052-2021")</f>
        <v/>
      </c>
      <c r="Z67">
        <f>HYPERLINK("https://klasma.github.io/Logging_1880/fåglar/A 44052-2021 prioriterade fågelarter.docx", "A 44052-2021")</f>
        <v/>
      </c>
    </row>
    <row r="68" ht="15" customHeight="1">
      <c r="A68" t="inlineStr">
        <is>
          <t>A 44389-2021</t>
        </is>
      </c>
      <c r="B68" s="1" t="n">
        <v>44435</v>
      </c>
      <c r="C68" s="1" t="n">
        <v>45513</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57108-2021</t>
        </is>
      </c>
      <c r="B69" s="1" t="n">
        <v>44482</v>
      </c>
      <c r="C69" s="1" t="n">
        <v>45513</v>
      </c>
      <c r="D69" t="inlineStr">
        <is>
          <t>ÖREBRO LÄN</t>
        </is>
      </c>
      <c r="E69" t="inlineStr">
        <is>
          <t>ÖREBRO</t>
        </is>
      </c>
      <c r="F69" t="inlineStr">
        <is>
          <t>Sveaskog</t>
        </is>
      </c>
      <c r="G69" t="n">
        <v>0.6</v>
      </c>
      <c r="H69" t="n">
        <v>1</v>
      </c>
      <c r="I69" t="n">
        <v>0</v>
      </c>
      <c r="J69" t="n">
        <v>0</v>
      </c>
      <c r="K69" t="n">
        <v>0</v>
      </c>
      <c r="L69" t="n">
        <v>0</v>
      </c>
      <c r="M69" t="n">
        <v>0</v>
      </c>
      <c r="N69" t="n">
        <v>0</v>
      </c>
      <c r="O69" t="n">
        <v>0</v>
      </c>
      <c r="P69" t="n">
        <v>0</v>
      </c>
      <c r="Q69" t="n">
        <v>1</v>
      </c>
      <c r="R69" s="2" t="inlineStr">
        <is>
          <t>Huggorm</t>
        </is>
      </c>
      <c r="S69">
        <f>HYPERLINK("https://klasma.github.io/Logging_1880/artfynd/A 57108-2021 artfynd.xlsx", "A 57108-2021")</f>
        <v/>
      </c>
      <c r="T69">
        <f>HYPERLINK("https://klasma.github.io/Logging_1880/kartor/A 57108-2021 karta.png", "A 57108-2021")</f>
        <v/>
      </c>
      <c r="V69">
        <f>HYPERLINK("https://klasma.github.io/Logging_1880/klagomål/A 57108-2021 FSC-klagomål.docx", "A 57108-2021")</f>
        <v/>
      </c>
      <c r="W69">
        <f>HYPERLINK("https://klasma.github.io/Logging_1880/klagomålsmail/A 57108-2021 FSC-klagomål mail.docx", "A 57108-2021")</f>
        <v/>
      </c>
      <c r="X69">
        <f>HYPERLINK("https://klasma.github.io/Logging_1880/tillsyn/A 57108-2021 tillsynsbegäran.docx", "A 57108-2021")</f>
        <v/>
      </c>
      <c r="Y69">
        <f>HYPERLINK("https://klasma.github.io/Logging_1880/tillsynsmail/A 57108-2021 tillsynsbegäran mail.docx", "A 57108-2021")</f>
        <v/>
      </c>
    </row>
    <row r="70" ht="15" customHeight="1">
      <c r="A70" t="inlineStr">
        <is>
          <t>A 4943-2022</t>
        </is>
      </c>
      <c r="B70" s="1" t="n">
        <v>44593</v>
      </c>
      <c r="C70" s="1" t="n">
        <v>45513</v>
      </c>
      <c r="D70" t="inlineStr">
        <is>
          <t>ÖREBRO LÄN</t>
        </is>
      </c>
      <c r="E70" t="inlineStr">
        <is>
          <t>ÖREBRO</t>
        </is>
      </c>
      <c r="G70" t="n">
        <v>1.1</v>
      </c>
      <c r="H70" t="n">
        <v>0</v>
      </c>
      <c r="I70" t="n">
        <v>0</v>
      </c>
      <c r="J70" t="n">
        <v>1</v>
      </c>
      <c r="K70" t="n">
        <v>0</v>
      </c>
      <c r="L70" t="n">
        <v>0</v>
      </c>
      <c r="M70" t="n">
        <v>0</v>
      </c>
      <c r="N70" t="n">
        <v>0</v>
      </c>
      <c r="O70" t="n">
        <v>1</v>
      </c>
      <c r="P70" t="n">
        <v>0</v>
      </c>
      <c r="Q70" t="n">
        <v>1</v>
      </c>
      <c r="R70" s="2" t="inlineStr">
        <is>
          <t>Skinntagging</t>
        </is>
      </c>
      <c r="S70">
        <f>HYPERLINK("https://klasma.github.io/Logging_1880/artfynd/A 4943-2022 artfynd.xlsx", "A 4943-2022")</f>
        <v/>
      </c>
      <c r="T70">
        <f>HYPERLINK("https://klasma.github.io/Logging_1880/kartor/A 4943-2022 karta.png", "A 4943-2022")</f>
        <v/>
      </c>
      <c r="V70">
        <f>HYPERLINK("https://klasma.github.io/Logging_1880/klagomål/A 4943-2022 FSC-klagomål.docx", "A 4943-2022")</f>
        <v/>
      </c>
      <c r="W70">
        <f>HYPERLINK("https://klasma.github.io/Logging_1880/klagomålsmail/A 4943-2022 FSC-klagomål mail.docx", "A 4943-2022")</f>
        <v/>
      </c>
      <c r="X70">
        <f>HYPERLINK("https://klasma.github.io/Logging_1880/tillsyn/A 4943-2022 tillsynsbegäran.docx", "A 4943-2022")</f>
        <v/>
      </c>
      <c r="Y70">
        <f>HYPERLINK("https://klasma.github.io/Logging_1880/tillsynsmail/A 4943-2022 tillsynsbegäran mail.docx", "A 4943-2022")</f>
        <v/>
      </c>
    </row>
    <row r="71" ht="15" customHeight="1">
      <c r="A71" t="inlineStr">
        <is>
          <t>A 12974-2022</t>
        </is>
      </c>
      <c r="B71" s="1" t="n">
        <v>44643</v>
      </c>
      <c r="C71" s="1" t="n">
        <v>45513</v>
      </c>
      <c r="D71" t="inlineStr">
        <is>
          <t>ÖREBRO LÄN</t>
        </is>
      </c>
      <c r="E71" t="inlineStr">
        <is>
          <t>ÖREBRO</t>
        </is>
      </c>
      <c r="G71" t="n">
        <v>3.3</v>
      </c>
      <c r="H71" t="n">
        <v>1</v>
      </c>
      <c r="I71" t="n">
        <v>0</v>
      </c>
      <c r="J71" t="n">
        <v>1</v>
      </c>
      <c r="K71" t="n">
        <v>0</v>
      </c>
      <c r="L71" t="n">
        <v>0</v>
      </c>
      <c r="M71" t="n">
        <v>0</v>
      </c>
      <c r="N71" t="n">
        <v>0</v>
      </c>
      <c r="O71" t="n">
        <v>1</v>
      </c>
      <c r="P71" t="n">
        <v>0</v>
      </c>
      <c r="Q71" t="n">
        <v>1</v>
      </c>
      <c r="R71" s="2" t="inlineStr">
        <is>
          <t>Duvhök</t>
        </is>
      </c>
      <c r="S71">
        <f>HYPERLINK("https://klasma.github.io/Logging_1880/artfynd/A 12974-2022 artfynd.xlsx", "A 12974-2022")</f>
        <v/>
      </c>
      <c r="T71">
        <f>HYPERLINK("https://klasma.github.io/Logging_1880/kartor/A 12974-2022 karta.png", "A 12974-2022")</f>
        <v/>
      </c>
      <c r="V71">
        <f>HYPERLINK("https://klasma.github.io/Logging_1880/klagomål/A 12974-2022 FSC-klagomål.docx", "A 12974-2022")</f>
        <v/>
      </c>
      <c r="W71">
        <f>HYPERLINK("https://klasma.github.io/Logging_1880/klagomålsmail/A 12974-2022 FSC-klagomål mail.docx", "A 12974-2022")</f>
        <v/>
      </c>
      <c r="X71">
        <f>HYPERLINK("https://klasma.github.io/Logging_1880/tillsyn/A 12974-2022 tillsynsbegäran.docx", "A 12974-2022")</f>
        <v/>
      </c>
      <c r="Y71">
        <f>HYPERLINK("https://klasma.github.io/Logging_1880/tillsynsmail/A 12974-2022 tillsynsbegäran mail.docx", "A 12974-2022")</f>
        <v/>
      </c>
      <c r="Z71">
        <f>HYPERLINK("https://klasma.github.io/Logging_1880/fåglar/A 12974-2022 prioriterade fågelarter.docx", "A 12974-2022")</f>
        <v/>
      </c>
    </row>
    <row r="72" ht="15" customHeight="1">
      <c r="A72" t="inlineStr">
        <is>
          <t>A 26890-2022</t>
        </is>
      </c>
      <c r="B72" s="1" t="n">
        <v>44740</v>
      </c>
      <c r="C72" s="1" t="n">
        <v>45513</v>
      </c>
      <c r="D72" t="inlineStr">
        <is>
          <t>ÖREBRO LÄN</t>
        </is>
      </c>
      <c r="E72" t="inlineStr">
        <is>
          <t>ÖREBRO</t>
        </is>
      </c>
      <c r="G72" t="n">
        <v>4.2</v>
      </c>
      <c r="H72" t="n">
        <v>1</v>
      </c>
      <c r="I72" t="n">
        <v>0</v>
      </c>
      <c r="J72" t="n">
        <v>0</v>
      </c>
      <c r="K72" t="n">
        <v>1</v>
      </c>
      <c r="L72" t="n">
        <v>0</v>
      </c>
      <c r="M72" t="n">
        <v>0</v>
      </c>
      <c r="N72" t="n">
        <v>0</v>
      </c>
      <c r="O72" t="n">
        <v>1</v>
      </c>
      <c r="P72" t="n">
        <v>1</v>
      </c>
      <c r="Q72" t="n">
        <v>1</v>
      </c>
      <c r="R72" s="2" t="inlineStr">
        <is>
          <t>Hällebräcka</t>
        </is>
      </c>
      <c r="S72">
        <f>HYPERLINK("https://klasma.github.io/Logging_1880/artfynd/A 26890-2022 artfynd.xlsx", "A 26890-2022")</f>
        <v/>
      </c>
      <c r="T72">
        <f>HYPERLINK("https://klasma.github.io/Logging_1880/kartor/A 26890-2022 karta.png", "A 26890-2022")</f>
        <v/>
      </c>
      <c r="V72">
        <f>HYPERLINK("https://klasma.github.io/Logging_1880/klagomål/A 26890-2022 FSC-klagomål.docx", "A 26890-2022")</f>
        <v/>
      </c>
      <c r="W72">
        <f>HYPERLINK("https://klasma.github.io/Logging_1880/klagomålsmail/A 26890-2022 FSC-klagomål mail.docx", "A 26890-2022")</f>
        <v/>
      </c>
      <c r="X72">
        <f>HYPERLINK("https://klasma.github.io/Logging_1880/tillsyn/A 26890-2022 tillsynsbegäran.docx", "A 26890-2022")</f>
        <v/>
      </c>
      <c r="Y72">
        <f>HYPERLINK("https://klasma.github.io/Logging_1880/tillsynsmail/A 26890-2022 tillsynsbegäran mail.docx", "A 26890-2022")</f>
        <v/>
      </c>
    </row>
    <row r="73" ht="15" customHeight="1">
      <c r="A73" t="inlineStr">
        <is>
          <t>A 29704-2022</t>
        </is>
      </c>
      <c r="B73" s="1" t="n">
        <v>44755</v>
      </c>
      <c r="C73" s="1" t="n">
        <v>45513</v>
      </c>
      <c r="D73" t="inlineStr">
        <is>
          <t>ÖREBRO LÄN</t>
        </is>
      </c>
      <c r="E73" t="inlineStr">
        <is>
          <t>ÖREBRO</t>
        </is>
      </c>
      <c r="F73" t="inlineStr">
        <is>
          <t>Kommuner</t>
        </is>
      </c>
      <c r="G73" t="n">
        <v>1.1</v>
      </c>
      <c r="H73" t="n">
        <v>0</v>
      </c>
      <c r="I73" t="n">
        <v>0</v>
      </c>
      <c r="J73" t="n">
        <v>1</v>
      </c>
      <c r="K73" t="n">
        <v>0</v>
      </c>
      <c r="L73" t="n">
        <v>0</v>
      </c>
      <c r="M73" t="n">
        <v>0</v>
      </c>
      <c r="N73" t="n">
        <v>0</v>
      </c>
      <c r="O73" t="n">
        <v>1</v>
      </c>
      <c r="P73" t="n">
        <v>0</v>
      </c>
      <c r="Q73" t="n">
        <v>1</v>
      </c>
      <c r="R73" s="2" t="inlineStr">
        <is>
          <t>Motaggsvamp</t>
        </is>
      </c>
      <c r="S73">
        <f>HYPERLINK("https://klasma.github.io/Logging_1880/artfynd/A 29704-2022 artfynd.xlsx", "A 29704-2022")</f>
        <v/>
      </c>
      <c r="T73">
        <f>HYPERLINK("https://klasma.github.io/Logging_1880/kartor/A 29704-2022 karta.png", "A 29704-2022")</f>
        <v/>
      </c>
      <c r="V73">
        <f>HYPERLINK("https://klasma.github.io/Logging_1880/klagomål/A 29704-2022 FSC-klagomål.docx", "A 29704-2022")</f>
        <v/>
      </c>
      <c r="W73">
        <f>HYPERLINK("https://klasma.github.io/Logging_1880/klagomålsmail/A 29704-2022 FSC-klagomål mail.docx", "A 29704-2022")</f>
        <v/>
      </c>
      <c r="X73">
        <f>HYPERLINK("https://klasma.github.io/Logging_1880/tillsyn/A 29704-2022 tillsynsbegäran.docx", "A 29704-2022")</f>
        <v/>
      </c>
      <c r="Y73">
        <f>HYPERLINK("https://klasma.github.io/Logging_1880/tillsynsmail/A 29704-2022 tillsynsbegäran mail.docx", "A 29704-2022")</f>
        <v/>
      </c>
    </row>
    <row r="74" ht="15" customHeight="1">
      <c r="A74" t="inlineStr">
        <is>
          <t>A 44361-2022</t>
        </is>
      </c>
      <c r="B74" s="1" t="n">
        <v>44839</v>
      </c>
      <c r="C74" s="1" t="n">
        <v>45513</v>
      </c>
      <c r="D74" t="inlineStr">
        <is>
          <t>ÖREBRO LÄN</t>
        </is>
      </c>
      <c r="E74" t="inlineStr">
        <is>
          <t>ÖREBRO</t>
        </is>
      </c>
      <c r="G74" t="n">
        <v>1.5</v>
      </c>
      <c r="H74" t="n">
        <v>1</v>
      </c>
      <c r="I74" t="n">
        <v>0</v>
      </c>
      <c r="J74" t="n">
        <v>0</v>
      </c>
      <c r="K74" t="n">
        <v>0</v>
      </c>
      <c r="L74" t="n">
        <v>0</v>
      </c>
      <c r="M74" t="n">
        <v>0</v>
      </c>
      <c r="N74" t="n">
        <v>0</v>
      </c>
      <c r="O74" t="n">
        <v>0</v>
      </c>
      <c r="P74" t="n">
        <v>0</v>
      </c>
      <c r="Q74" t="n">
        <v>1</v>
      </c>
      <c r="R74" s="2" t="inlineStr">
        <is>
          <t>Blåsippa</t>
        </is>
      </c>
      <c r="S74">
        <f>HYPERLINK("https://klasma.github.io/Logging_1880/artfynd/A 44361-2022 artfynd.xlsx", "A 44361-2022")</f>
        <v/>
      </c>
      <c r="T74">
        <f>HYPERLINK("https://klasma.github.io/Logging_1880/kartor/A 44361-2022 karta.png", "A 44361-2022")</f>
        <v/>
      </c>
      <c r="V74">
        <f>HYPERLINK("https://klasma.github.io/Logging_1880/klagomål/A 44361-2022 FSC-klagomål.docx", "A 44361-2022")</f>
        <v/>
      </c>
      <c r="W74">
        <f>HYPERLINK("https://klasma.github.io/Logging_1880/klagomålsmail/A 44361-2022 FSC-klagomål mail.docx", "A 44361-2022")</f>
        <v/>
      </c>
      <c r="X74">
        <f>HYPERLINK("https://klasma.github.io/Logging_1880/tillsyn/A 44361-2022 tillsynsbegäran.docx", "A 44361-2022")</f>
        <v/>
      </c>
      <c r="Y74">
        <f>HYPERLINK("https://klasma.github.io/Logging_1880/tillsynsmail/A 44361-2022 tillsynsbegäran mail.docx", "A 44361-2022")</f>
        <v/>
      </c>
    </row>
    <row r="75" ht="15" customHeight="1">
      <c r="A75" t="inlineStr">
        <is>
          <t>A 5097-2023</t>
        </is>
      </c>
      <c r="B75" s="1" t="n">
        <v>44958</v>
      </c>
      <c r="C75" s="1" t="n">
        <v>45513</v>
      </c>
      <c r="D75" t="inlineStr">
        <is>
          <t>ÖREBRO LÄN</t>
        </is>
      </c>
      <c r="E75" t="inlineStr">
        <is>
          <t>ÖREBRO</t>
        </is>
      </c>
      <c r="G75" t="n">
        <v>3.6</v>
      </c>
      <c r="H75" t="n">
        <v>1</v>
      </c>
      <c r="I75" t="n">
        <v>0</v>
      </c>
      <c r="J75" t="n">
        <v>0</v>
      </c>
      <c r="K75" t="n">
        <v>0</v>
      </c>
      <c r="L75" t="n">
        <v>0</v>
      </c>
      <c r="M75" t="n">
        <v>0</v>
      </c>
      <c r="N75" t="n">
        <v>0</v>
      </c>
      <c r="O75" t="n">
        <v>0</v>
      </c>
      <c r="P75" t="n">
        <v>0</v>
      </c>
      <c r="Q75" t="n">
        <v>1</v>
      </c>
      <c r="R75" s="2" t="inlineStr">
        <is>
          <t>Grönvit nattviol</t>
        </is>
      </c>
      <c r="S75">
        <f>HYPERLINK("https://klasma.github.io/Logging_1880/artfynd/A 5097-2023 artfynd.xlsx", "A 5097-2023")</f>
        <v/>
      </c>
      <c r="T75">
        <f>HYPERLINK("https://klasma.github.io/Logging_1880/kartor/A 5097-2023 karta.png", "A 5097-2023")</f>
        <v/>
      </c>
      <c r="V75">
        <f>HYPERLINK("https://klasma.github.io/Logging_1880/klagomål/A 5097-2023 FSC-klagomål.docx", "A 5097-2023")</f>
        <v/>
      </c>
      <c r="W75">
        <f>HYPERLINK("https://klasma.github.io/Logging_1880/klagomålsmail/A 5097-2023 FSC-klagomål mail.docx", "A 5097-2023")</f>
        <v/>
      </c>
      <c r="X75">
        <f>HYPERLINK("https://klasma.github.io/Logging_1880/tillsyn/A 5097-2023 tillsynsbegäran.docx", "A 5097-2023")</f>
        <v/>
      </c>
      <c r="Y75">
        <f>HYPERLINK("https://klasma.github.io/Logging_1880/tillsynsmail/A 5097-2023 tillsynsbegäran mail.docx", "A 5097-2023")</f>
        <v/>
      </c>
    </row>
    <row r="76" ht="15" customHeight="1">
      <c r="A76" t="inlineStr">
        <is>
          <t>A 19939-2023</t>
        </is>
      </c>
      <c r="B76" s="1" t="n">
        <v>45054</v>
      </c>
      <c r="C76" s="1" t="n">
        <v>45513</v>
      </c>
      <c r="D76" t="inlineStr">
        <is>
          <t>ÖREBRO LÄN</t>
        </is>
      </c>
      <c r="E76" t="inlineStr">
        <is>
          <t>ÖREBRO</t>
        </is>
      </c>
      <c r="G76" t="n">
        <v>5.4</v>
      </c>
      <c r="H76" t="n">
        <v>0</v>
      </c>
      <c r="I76" t="n">
        <v>1</v>
      </c>
      <c r="J76" t="n">
        <v>0</v>
      </c>
      <c r="K76" t="n">
        <v>0</v>
      </c>
      <c r="L76" t="n">
        <v>0</v>
      </c>
      <c r="M76" t="n">
        <v>0</v>
      </c>
      <c r="N76" t="n">
        <v>0</v>
      </c>
      <c r="O76" t="n">
        <v>0</v>
      </c>
      <c r="P76" t="n">
        <v>0</v>
      </c>
      <c r="Q76" t="n">
        <v>1</v>
      </c>
      <c r="R76" s="2" t="inlineStr">
        <is>
          <t>Kambräken</t>
        </is>
      </c>
      <c r="S76">
        <f>HYPERLINK("https://klasma.github.io/Logging_1880/artfynd/A 19939-2023 artfynd.xlsx", "A 19939-2023")</f>
        <v/>
      </c>
      <c r="T76">
        <f>HYPERLINK("https://klasma.github.io/Logging_1880/kartor/A 19939-2023 karta.png", "A 19939-2023")</f>
        <v/>
      </c>
      <c r="V76">
        <f>HYPERLINK("https://klasma.github.io/Logging_1880/klagomål/A 19939-2023 FSC-klagomål.docx", "A 19939-2023")</f>
        <v/>
      </c>
      <c r="W76">
        <f>HYPERLINK("https://klasma.github.io/Logging_1880/klagomålsmail/A 19939-2023 FSC-klagomål mail.docx", "A 19939-2023")</f>
        <v/>
      </c>
      <c r="X76">
        <f>HYPERLINK("https://klasma.github.io/Logging_1880/tillsyn/A 19939-2023 tillsynsbegäran.docx", "A 19939-2023")</f>
        <v/>
      </c>
      <c r="Y76">
        <f>HYPERLINK("https://klasma.github.io/Logging_1880/tillsynsmail/A 19939-2023 tillsynsbegäran mail.docx", "A 19939-2023")</f>
        <v/>
      </c>
    </row>
    <row r="77" ht="15" customHeight="1">
      <c r="A77" t="inlineStr">
        <is>
          <t>A 20247-2023</t>
        </is>
      </c>
      <c r="B77" s="1" t="n">
        <v>45055</v>
      </c>
      <c r="C77" s="1" t="n">
        <v>45513</v>
      </c>
      <c r="D77" t="inlineStr">
        <is>
          <t>ÖREBRO LÄN</t>
        </is>
      </c>
      <c r="E77" t="inlineStr">
        <is>
          <t>ÖREBRO</t>
        </is>
      </c>
      <c r="G77" t="n">
        <v>3</v>
      </c>
      <c r="H77" t="n">
        <v>1</v>
      </c>
      <c r="I77" t="n">
        <v>0</v>
      </c>
      <c r="J77" t="n">
        <v>0</v>
      </c>
      <c r="K77" t="n">
        <v>0</v>
      </c>
      <c r="L77" t="n">
        <v>0</v>
      </c>
      <c r="M77" t="n">
        <v>0</v>
      </c>
      <c r="N77" t="n">
        <v>0</v>
      </c>
      <c r="O77" t="n">
        <v>0</v>
      </c>
      <c r="P77" t="n">
        <v>0</v>
      </c>
      <c r="Q77" t="n">
        <v>1</v>
      </c>
      <c r="R77" s="2" t="inlineStr">
        <is>
          <t>Större vattensalamander</t>
        </is>
      </c>
      <c r="S77">
        <f>HYPERLINK("https://klasma.github.io/Logging_1880/artfynd/A 20247-2023 artfynd.xlsx", "A 20247-2023")</f>
        <v/>
      </c>
      <c r="T77">
        <f>HYPERLINK("https://klasma.github.io/Logging_1880/kartor/A 20247-2023 karta.png", "A 20247-2023")</f>
        <v/>
      </c>
      <c r="V77">
        <f>HYPERLINK("https://klasma.github.io/Logging_1880/klagomål/A 20247-2023 FSC-klagomål.docx", "A 20247-2023")</f>
        <v/>
      </c>
      <c r="W77">
        <f>HYPERLINK("https://klasma.github.io/Logging_1880/klagomålsmail/A 20247-2023 FSC-klagomål mail.docx", "A 20247-2023")</f>
        <v/>
      </c>
      <c r="X77">
        <f>HYPERLINK("https://klasma.github.io/Logging_1880/tillsyn/A 20247-2023 tillsynsbegäran.docx", "A 20247-2023")</f>
        <v/>
      </c>
      <c r="Y77">
        <f>HYPERLINK("https://klasma.github.io/Logging_1880/tillsynsmail/A 20247-2023 tillsynsbegäran mail.docx", "A 20247-2023")</f>
        <v/>
      </c>
    </row>
    <row r="78" ht="15" customHeight="1">
      <c r="A78" t="inlineStr">
        <is>
          <t>A 22848-2023</t>
        </is>
      </c>
      <c r="B78" s="1" t="n">
        <v>45072</v>
      </c>
      <c r="C78" s="1" t="n">
        <v>45513</v>
      </c>
      <c r="D78" t="inlineStr">
        <is>
          <t>ÖREBRO LÄN</t>
        </is>
      </c>
      <c r="E78" t="inlineStr">
        <is>
          <t>ÖREBRO</t>
        </is>
      </c>
      <c r="G78" t="n">
        <v>3.6</v>
      </c>
      <c r="H78" t="n">
        <v>0</v>
      </c>
      <c r="I78" t="n">
        <v>1</v>
      </c>
      <c r="J78" t="n">
        <v>0</v>
      </c>
      <c r="K78" t="n">
        <v>0</v>
      </c>
      <c r="L78" t="n">
        <v>0</v>
      </c>
      <c r="M78" t="n">
        <v>0</v>
      </c>
      <c r="N78" t="n">
        <v>0</v>
      </c>
      <c r="O78" t="n">
        <v>0</v>
      </c>
      <c r="P78" t="n">
        <v>0</v>
      </c>
      <c r="Q78" t="n">
        <v>1</v>
      </c>
      <c r="R78" s="2" t="inlineStr">
        <is>
          <t>Blomkålssvamp</t>
        </is>
      </c>
      <c r="S78">
        <f>HYPERLINK("https://klasma.github.io/Logging_1880/artfynd/A 22848-2023 artfynd.xlsx", "A 22848-2023")</f>
        <v/>
      </c>
      <c r="T78">
        <f>HYPERLINK("https://klasma.github.io/Logging_1880/kartor/A 22848-2023 karta.png", "A 22848-2023")</f>
        <v/>
      </c>
      <c r="V78">
        <f>HYPERLINK("https://klasma.github.io/Logging_1880/klagomål/A 22848-2023 FSC-klagomål.docx", "A 22848-2023")</f>
        <v/>
      </c>
      <c r="W78">
        <f>HYPERLINK("https://klasma.github.io/Logging_1880/klagomålsmail/A 22848-2023 FSC-klagomål mail.docx", "A 22848-2023")</f>
        <v/>
      </c>
      <c r="X78">
        <f>HYPERLINK("https://klasma.github.io/Logging_1880/tillsyn/A 22848-2023 tillsynsbegäran.docx", "A 22848-2023")</f>
        <v/>
      </c>
      <c r="Y78">
        <f>HYPERLINK("https://klasma.github.io/Logging_1880/tillsynsmail/A 22848-2023 tillsynsbegäran mail.docx", "A 22848-2023")</f>
        <v/>
      </c>
    </row>
    <row r="79" ht="15" customHeight="1">
      <c r="A79" t="inlineStr">
        <is>
          <t>A 23608-2023</t>
        </is>
      </c>
      <c r="B79" s="1" t="n">
        <v>45077</v>
      </c>
      <c r="C79" s="1" t="n">
        <v>45513</v>
      </c>
      <c r="D79" t="inlineStr">
        <is>
          <t>ÖREBRO LÄN</t>
        </is>
      </c>
      <c r="E79" t="inlineStr">
        <is>
          <t>ÖREBRO</t>
        </is>
      </c>
      <c r="G79" t="n">
        <v>5.8</v>
      </c>
      <c r="H79" t="n">
        <v>1</v>
      </c>
      <c r="I79" t="n">
        <v>0</v>
      </c>
      <c r="J79" t="n">
        <v>1</v>
      </c>
      <c r="K79" t="n">
        <v>0</v>
      </c>
      <c r="L79" t="n">
        <v>0</v>
      </c>
      <c r="M79" t="n">
        <v>0</v>
      </c>
      <c r="N79" t="n">
        <v>0</v>
      </c>
      <c r="O79" t="n">
        <v>1</v>
      </c>
      <c r="P79" t="n">
        <v>0</v>
      </c>
      <c r="Q79" t="n">
        <v>1</v>
      </c>
      <c r="R79" s="2" t="inlineStr">
        <is>
          <t>Havsörn</t>
        </is>
      </c>
      <c r="S79">
        <f>HYPERLINK("https://klasma.github.io/Logging_1880/artfynd/A 23608-2023 artfynd.xlsx", "A 23608-2023")</f>
        <v/>
      </c>
      <c r="T79">
        <f>HYPERLINK("https://klasma.github.io/Logging_1880/kartor/A 23608-2023 karta.png", "A 23608-2023")</f>
        <v/>
      </c>
      <c r="V79">
        <f>HYPERLINK("https://klasma.github.io/Logging_1880/klagomål/A 23608-2023 FSC-klagomål.docx", "A 23608-2023")</f>
        <v/>
      </c>
      <c r="W79">
        <f>HYPERLINK("https://klasma.github.io/Logging_1880/klagomålsmail/A 23608-2023 FSC-klagomål mail.docx", "A 23608-2023")</f>
        <v/>
      </c>
      <c r="X79">
        <f>HYPERLINK("https://klasma.github.io/Logging_1880/tillsyn/A 23608-2023 tillsynsbegäran.docx", "A 23608-2023")</f>
        <v/>
      </c>
      <c r="Y79">
        <f>HYPERLINK("https://klasma.github.io/Logging_1880/tillsynsmail/A 23608-2023 tillsynsbegäran mail.docx", "A 23608-2023")</f>
        <v/>
      </c>
      <c r="Z79">
        <f>HYPERLINK("https://klasma.github.io/Logging_1880/fåglar/A 23608-2023 prioriterade fågelarter.docx", "A 23608-2023")</f>
        <v/>
      </c>
    </row>
    <row r="80" ht="15" customHeight="1">
      <c r="A80" t="inlineStr">
        <is>
          <t>A 32105-2023</t>
        </is>
      </c>
      <c r="B80" s="1" t="n">
        <v>45119</v>
      </c>
      <c r="C80" s="1" t="n">
        <v>45513</v>
      </c>
      <c r="D80" t="inlineStr">
        <is>
          <t>ÖREBRO LÄN</t>
        </is>
      </c>
      <c r="E80" t="inlineStr">
        <is>
          <t>ÖREBRO</t>
        </is>
      </c>
      <c r="G80" t="n">
        <v>1.3</v>
      </c>
      <c r="H80" t="n">
        <v>1</v>
      </c>
      <c r="I80" t="n">
        <v>0</v>
      </c>
      <c r="J80" t="n">
        <v>1</v>
      </c>
      <c r="K80" t="n">
        <v>0</v>
      </c>
      <c r="L80" t="n">
        <v>0</v>
      </c>
      <c r="M80" t="n">
        <v>0</v>
      </c>
      <c r="N80" t="n">
        <v>0</v>
      </c>
      <c r="O80" t="n">
        <v>1</v>
      </c>
      <c r="P80" t="n">
        <v>0</v>
      </c>
      <c r="Q80" t="n">
        <v>1</v>
      </c>
      <c r="R80" s="2" t="inlineStr">
        <is>
          <t>Rödvingetrast</t>
        </is>
      </c>
      <c r="S80">
        <f>HYPERLINK("https://klasma.github.io/Logging_1880/artfynd/A 32105-2023 artfynd.xlsx", "A 32105-2023")</f>
        <v/>
      </c>
      <c r="T80">
        <f>HYPERLINK("https://klasma.github.io/Logging_1880/kartor/A 32105-2023 karta.png", "A 32105-2023")</f>
        <v/>
      </c>
      <c r="V80">
        <f>HYPERLINK("https://klasma.github.io/Logging_1880/klagomål/A 32105-2023 FSC-klagomål.docx", "A 32105-2023")</f>
        <v/>
      </c>
      <c r="W80">
        <f>HYPERLINK("https://klasma.github.io/Logging_1880/klagomålsmail/A 32105-2023 FSC-klagomål mail.docx", "A 32105-2023")</f>
        <v/>
      </c>
      <c r="X80">
        <f>HYPERLINK("https://klasma.github.io/Logging_1880/tillsyn/A 32105-2023 tillsynsbegäran.docx", "A 32105-2023")</f>
        <v/>
      </c>
      <c r="Y80">
        <f>HYPERLINK("https://klasma.github.io/Logging_1880/tillsynsmail/A 32105-2023 tillsynsbegäran mail.docx", "A 32105-2023")</f>
        <v/>
      </c>
      <c r="Z80">
        <f>HYPERLINK("https://klasma.github.io/Logging_1880/fåglar/A 32105-2023 prioriterade fågelarter.docx", "A 32105-2023")</f>
        <v/>
      </c>
    </row>
    <row r="81" ht="15" customHeight="1">
      <c r="A81" t="inlineStr">
        <is>
          <t>A 3866-2024</t>
        </is>
      </c>
      <c r="B81" s="1" t="n">
        <v>45322</v>
      </c>
      <c r="C81" s="1" t="n">
        <v>45513</v>
      </c>
      <c r="D81" t="inlineStr">
        <is>
          <t>ÖREBRO LÄN</t>
        </is>
      </c>
      <c r="E81" t="inlineStr">
        <is>
          <t>ÖREBRO</t>
        </is>
      </c>
      <c r="F81" t="inlineStr">
        <is>
          <t>Övriga Aktiebolag</t>
        </is>
      </c>
      <c r="G81" t="n">
        <v>4.7</v>
      </c>
      <c r="H81" t="n">
        <v>1</v>
      </c>
      <c r="I81" t="n">
        <v>0</v>
      </c>
      <c r="J81" t="n">
        <v>0</v>
      </c>
      <c r="K81" t="n">
        <v>0</v>
      </c>
      <c r="L81" t="n">
        <v>1</v>
      </c>
      <c r="M81" t="n">
        <v>0</v>
      </c>
      <c r="N81" t="n">
        <v>0</v>
      </c>
      <c r="O81" t="n">
        <v>1</v>
      </c>
      <c r="P81" t="n">
        <v>1</v>
      </c>
      <c r="Q81" t="n">
        <v>1</v>
      </c>
      <c r="R81" s="2" t="inlineStr">
        <is>
          <t>Bredgentiana</t>
        </is>
      </c>
      <c r="S81">
        <f>HYPERLINK("https://klasma.github.io/Logging_1880/artfynd/A 3866-2024 artfynd.xlsx", "A 3866-2024")</f>
        <v/>
      </c>
      <c r="T81">
        <f>HYPERLINK("https://klasma.github.io/Logging_1880/kartor/A 3866-2024 karta.png", "A 3866-2024")</f>
        <v/>
      </c>
      <c r="V81">
        <f>HYPERLINK("https://klasma.github.io/Logging_1880/klagomål/A 3866-2024 FSC-klagomål.docx", "A 3866-2024")</f>
        <v/>
      </c>
      <c r="W81">
        <f>HYPERLINK("https://klasma.github.io/Logging_1880/klagomålsmail/A 3866-2024 FSC-klagomål mail.docx", "A 3866-2024")</f>
        <v/>
      </c>
      <c r="X81">
        <f>HYPERLINK("https://klasma.github.io/Logging_1880/tillsyn/A 3866-2024 tillsynsbegäran.docx", "A 3866-2024")</f>
        <v/>
      </c>
      <c r="Y81">
        <f>HYPERLINK("https://klasma.github.io/Logging_1880/tillsynsmail/A 3866-2024 tillsynsbegäran mail.docx", "A 3866-2024")</f>
        <v/>
      </c>
    </row>
    <row r="82" ht="15" customHeight="1">
      <c r="A82" t="inlineStr">
        <is>
          <t>A 5123-2024</t>
        </is>
      </c>
      <c r="B82" s="1" t="n">
        <v>45330</v>
      </c>
      <c r="C82" s="1" t="n">
        <v>45513</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5123-2024 artfynd.xlsx", "A 5123-2024")</f>
        <v/>
      </c>
      <c r="T82">
        <f>HYPERLINK("https://klasma.github.io/Logging_1880/kartor/A 5123-2024 karta.png", "A 5123-2024")</f>
        <v/>
      </c>
      <c r="V82">
        <f>HYPERLINK("https://klasma.github.io/Logging_1880/klagomål/A 5123-2024 FSC-klagomål.docx", "A 5123-2024")</f>
        <v/>
      </c>
      <c r="W82">
        <f>HYPERLINK("https://klasma.github.io/Logging_1880/klagomålsmail/A 5123-2024 FSC-klagomål mail.docx", "A 5123-2024")</f>
        <v/>
      </c>
      <c r="X82">
        <f>HYPERLINK("https://klasma.github.io/Logging_1880/tillsyn/A 5123-2024 tillsynsbegäran.docx", "A 5123-2024")</f>
        <v/>
      </c>
      <c r="Y82">
        <f>HYPERLINK("https://klasma.github.io/Logging_1880/tillsynsmail/A 5123-2024 tillsynsbegäran mail.docx", "A 5123-2024")</f>
        <v/>
      </c>
    </row>
    <row r="83" ht="15" customHeight="1">
      <c r="A83" t="inlineStr">
        <is>
          <t>A 8795-2024</t>
        </is>
      </c>
      <c r="B83" s="1" t="n">
        <v>45356</v>
      </c>
      <c r="C83" s="1" t="n">
        <v>45513</v>
      </c>
      <c r="D83" t="inlineStr">
        <is>
          <t>ÖREBRO LÄN</t>
        </is>
      </c>
      <c r="E83" t="inlineStr">
        <is>
          <t>ÖREBRO</t>
        </is>
      </c>
      <c r="G83" t="n">
        <v>3.1</v>
      </c>
      <c r="H83" t="n">
        <v>0</v>
      </c>
      <c r="I83" t="n">
        <v>0</v>
      </c>
      <c r="J83" t="n">
        <v>0</v>
      </c>
      <c r="K83" t="n">
        <v>1</v>
      </c>
      <c r="L83" t="n">
        <v>0</v>
      </c>
      <c r="M83" t="n">
        <v>0</v>
      </c>
      <c r="N83" t="n">
        <v>0</v>
      </c>
      <c r="O83" t="n">
        <v>1</v>
      </c>
      <c r="P83" t="n">
        <v>1</v>
      </c>
      <c r="Q83" t="n">
        <v>1</v>
      </c>
      <c r="R83" s="2" t="inlineStr">
        <is>
          <t>Violgubbe</t>
        </is>
      </c>
      <c r="S83">
        <f>HYPERLINK("https://klasma.github.io/Logging_1880/artfynd/A 8795-2024 artfynd.xlsx", "A 8795-2024")</f>
        <v/>
      </c>
      <c r="T83">
        <f>HYPERLINK("https://klasma.github.io/Logging_1880/kartor/A 8795-2024 karta.png", "A 8795-2024")</f>
        <v/>
      </c>
      <c r="V83">
        <f>HYPERLINK("https://klasma.github.io/Logging_1880/klagomål/A 8795-2024 FSC-klagomål.docx", "A 8795-2024")</f>
        <v/>
      </c>
      <c r="W83">
        <f>HYPERLINK("https://klasma.github.io/Logging_1880/klagomålsmail/A 8795-2024 FSC-klagomål mail.docx", "A 8795-2024")</f>
        <v/>
      </c>
      <c r="X83">
        <f>HYPERLINK("https://klasma.github.io/Logging_1880/tillsyn/A 8795-2024 tillsynsbegäran.docx", "A 8795-2024")</f>
        <v/>
      </c>
      <c r="Y83">
        <f>HYPERLINK("https://klasma.github.io/Logging_1880/tillsynsmail/A 8795-2024 tillsynsbegäran mail.docx", "A 8795-2024")</f>
        <v/>
      </c>
    </row>
    <row r="84" ht="15" customHeight="1">
      <c r="A84" t="inlineStr">
        <is>
          <t>A 13484-2024</t>
        </is>
      </c>
      <c r="B84" s="1" t="n">
        <v>45387</v>
      </c>
      <c r="C84" s="1" t="n">
        <v>45513</v>
      </c>
      <c r="D84" t="inlineStr">
        <is>
          <t>ÖREBRO LÄN</t>
        </is>
      </c>
      <c r="E84" t="inlineStr">
        <is>
          <t>ÖREBRO</t>
        </is>
      </c>
      <c r="G84" t="n">
        <v>9.1</v>
      </c>
      <c r="H84" t="n">
        <v>1</v>
      </c>
      <c r="I84" t="n">
        <v>0</v>
      </c>
      <c r="J84" t="n">
        <v>1</v>
      </c>
      <c r="K84" t="n">
        <v>0</v>
      </c>
      <c r="L84" t="n">
        <v>0</v>
      </c>
      <c r="M84" t="n">
        <v>0</v>
      </c>
      <c r="N84" t="n">
        <v>0</v>
      </c>
      <c r="O84" t="n">
        <v>1</v>
      </c>
      <c r="P84" t="n">
        <v>0</v>
      </c>
      <c r="Q84" t="n">
        <v>1</v>
      </c>
      <c r="R84" s="2" t="inlineStr">
        <is>
          <t>Spillkråka</t>
        </is>
      </c>
      <c r="S84">
        <f>HYPERLINK("https://klasma.github.io/Logging_1880/artfynd/A 13484-2024 artfynd.xlsx", "A 13484-2024")</f>
        <v/>
      </c>
      <c r="T84">
        <f>HYPERLINK("https://klasma.github.io/Logging_1880/kartor/A 13484-2024 karta.png", "A 13484-2024")</f>
        <v/>
      </c>
      <c r="V84">
        <f>HYPERLINK("https://klasma.github.io/Logging_1880/klagomål/A 13484-2024 FSC-klagomål.docx", "A 13484-2024")</f>
        <v/>
      </c>
      <c r="W84">
        <f>HYPERLINK("https://klasma.github.io/Logging_1880/klagomålsmail/A 13484-2024 FSC-klagomål mail.docx", "A 13484-2024")</f>
        <v/>
      </c>
      <c r="X84">
        <f>HYPERLINK("https://klasma.github.io/Logging_1880/tillsyn/A 13484-2024 tillsynsbegäran.docx", "A 13484-2024")</f>
        <v/>
      </c>
      <c r="Y84">
        <f>HYPERLINK("https://klasma.github.io/Logging_1880/tillsynsmail/A 13484-2024 tillsynsbegäran mail.docx", "A 13484-2024")</f>
        <v/>
      </c>
      <c r="Z84">
        <f>HYPERLINK("https://klasma.github.io/Logging_1880/fåglar/A 13484-2024 prioriterade fågelarter.docx", "A 13484-2024")</f>
        <v/>
      </c>
    </row>
    <row r="85" ht="15" customHeight="1">
      <c r="A85" t="inlineStr">
        <is>
          <t>A 22604-2024</t>
        </is>
      </c>
      <c r="B85" s="1" t="n">
        <v>45447</v>
      </c>
      <c r="C85" s="1" t="n">
        <v>45513</v>
      </c>
      <c r="D85" t="inlineStr">
        <is>
          <t>ÖREBRO LÄN</t>
        </is>
      </c>
      <c r="E85" t="inlineStr">
        <is>
          <t>ÖREBRO</t>
        </is>
      </c>
      <c r="G85" t="n">
        <v>4.4</v>
      </c>
      <c r="H85" t="n">
        <v>0</v>
      </c>
      <c r="I85" t="n">
        <v>0</v>
      </c>
      <c r="J85" t="n">
        <v>1</v>
      </c>
      <c r="K85" t="n">
        <v>0</v>
      </c>
      <c r="L85" t="n">
        <v>0</v>
      </c>
      <c r="M85" t="n">
        <v>0</v>
      </c>
      <c r="N85" t="n">
        <v>0</v>
      </c>
      <c r="O85" t="n">
        <v>1</v>
      </c>
      <c r="P85" t="n">
        <v>0</v>
      </c>
      <c r="Q85" t="n">
        <v>1</v>
      </c>
      <c r="R85" s="2" t="inlineStr">
        <is>
          <t>Månlåsbräken</t>
        </is>
      </c>
      <c r="S85">
        <f>HYPERLINK("https://klasma.github.io/Logging_1880/artfynd/A 22604-2024 artfynd.xlsx", "A 22604-2024")</f>
        <v/>
      </c>
      <c r="T85">
        <f>HYPERLINK("https://klasma.github.io/Logging_1880/kartor/A 22604-2024 karta.png", "A 22604-2024")</f>
        <v/>
      </c>
      <c r="V85">
        <f>HYPERLINK("https://klasma.github.io/Logging_1880/klagomål/A 22604-2024 FSC-klagomål.docx", "A 22604-2024")</f>
        <v/>
      </c>
      <c r="W85">
        <f>HYPERLINK("https://klasma.github.io/Logging_1880/klagomålsmail/A 22604-2024 FSC-klagomål mail.docx", "A 22604-2024")</f>
        <v/>
      </c>
      <c r="X85">
        <f>HYPERLINK("https://klasma.github.io/Logging_1880/tillsyn/A 22604-2024 tillsynsbegäran.docx", "A 22604-2024")</f>
        <v/>
      </c>
      <c r="Y85">
        <f>HYPERLINK("https://klasma.github.io/Logging_1880/tillsynsmail/A 22604-2024 tillsynsbegäran mail.docx", "A 22604-2024")</f>
        <v/>
      </c>
    </row>
    <row r="86" ht="15" customHeight="1">
      <c r="A86" t="inlineStr">
        <is>
          <t>A 31695-2024</t>
        </is>
      </c>
      <c r="B86" s="1" t="n">
        <v>45508</v>
      </c>
      <c r="C86" s="1" t="n">
        <v>45513</v>
      </c>
      <c r="D86" t="inlineStr">
        <is>
          <t>ÖREBRO LÄN</t>
        </is>
      </c>
      <c r="E86" t="inlineStr">
        <is>
          <t>ÖREBRO</t>
        </is>
      </c>
      <c r="G86" t="n">
        <v>1.3</v>
      </c>
      <c r="H86" t="n">
        <v>1</v>
      </c>
      <c r="I86" t="n">
        <v>1</v>
      </c>
      <c r="J86" t="n">
        <v>0</v>
      </c>
      <c r="K86" t="n">
        <v>0</v>
      </c>
      <c r="L86" t="n">
        <v>0</v>
      </c>
      <c r="M86" t="n">
        <v>0</v>
      </c>
      <c r="N86" t="n">
        <v>0</v>
      </c>
      <c r="O86" t="n">
        <v>0</v>
      </c>
      <c r="P86" t="n">
        <v>0</v>
      </c>
      <c r="Q86" t="n">
        <v>1</v>
      </c>
      <c r="R86" s="2" t="inlineStr">
        <is>
          <t>Skogsknipprot</t>
        </is>
      </c>
      <c r="S86">
        <f>HYPERLINK("https://klasma.github.io/Logging_1880/artfynd/A 31695-2024 artfynd.xlsx", "A 31695-2024")</f>
        <v/>
      </c>
      <c r="T86">
        <f>HYPERLINK("https://klasma.github.io/Logging_1880/kartor/A 31695-2024 karta.png", "A 31695-2024")</f>
        <v/>
      </c>
      <c r="V86">
        <f>HYPERLINK("https://klasma.github.io/Logging_1880/klagomål/A 31695-2024 FSC-klagomål.docx", "A 31695-2024")</f>
        <v/>
      </c>
      <c r="W86">
        <f>HYPERLINK("https://klasma.github.io/Logging_1880/klagomålsmail/A 31695-2024 FSC-klagomål mail.docx", "A 31695-2024")</f>
        <v/>
      </c>
      <c r="X86">
        <f>HYPERLINK("https://klasma.github.io/Logging_1880/tillsyn/A 31695-2024 tillsynsbegäran.docx", "A 31695-2024")</f>
        <v/>
      </c>
      <c r="Y86">
        <f>HYPERLINK("https://klasma.github.io/Logging_1880/tillsynsmail/A 31695-2024 tillsynsbegäran mail.docx", "A 31695-2024")</f>
        <v/>
      </c>
    </row>
    <row r="87" ht="15" customHeight="1">
      <c r="A87" t="inlineStr">
        <is>
          <t>A 18034-2019</t>
        </is>
      </c>
      <c r="B87" s="1" t="n">
        <v>43557</v>
      </c>
      <c r="C87" s="1" t="n">
        <v>45513</v>
      </c>
      <c r="D87" t="inlineStr">
        <is>
          <t>ÖREBRO LÄN</t>
        </is>
      </c>
      <c r="E87" t="inlineStr">
        <is>
          <t>ÖREBRO</t>
        </is>
      </c>
      <c r="G87" t="n">
        <v>1</v>
      </c>
      <c r="H87" t="n">
        <v>0</v>
      </c>
      <c r="I87" t="n">
        <v>0</v>
      </c>
      <c r="J87" t="n">
        <v>0</v>
      </c>
      <c r="K87" t="n">
        <v>0</v>
      </c>
      <c r="L87" t="n">
        <v>0</v>
      </c>
      <c r="M87" t="n">
        <v>0</v>
      </c>
      <c r="N87" t="n">
        <v>0</v>
      </c>
      <c r="O87" t="n">
        <v>0</v>
      </c>
      <c r="P87" t="n">
        <v>0</v>
      </c>
      <c r="Q87" t="n">
        <v>0</v>
      </c>
      <c r="R87" s="2" t="inlineStr"/>
    </row>
    <row r="88" ht="15" customHeight="1">
      <c r="A88" t="inlineStr">
        <is>
          <t>A 19042-2019</t>
        </is>
      </c>
      <c r="B88" s="1" t="n">
        <v>43563</v>
      </c>
      <c r="C88" s="1" t="n">
        <v>45513</v>
      </c>
      <c r="D88" t="inlineStr">
        <is>
          <t>ÖREBRO LÄN</t>
        </is>
      </c>
      <c r="E88" t="inlineStr">
        <is>
          <t>ÖREBRO</t>
        </is>
      </c>
      <c r="G88" t="n">
        <v>2.8</v>
      </c>
      <c r="H88" t="n">
        <v>0</v>
      </c>
      <c r="I88" t="n">
        <v>0</v>
      </c>
      <c r="J88" t="n">
        <v>0</v>
      </c>
      <c r="K88" t="n">
        <v>0</v>
      </c>
      <c r="L88" t="n">
        <v>0</v>
      </c>
      <c r="M88" t="n">
        <v>0</v>
      </c>
      <c r="N88" t="n">
        <v>0</v>
      </c>
      <c r="O88" t="n">
        <v>0</v>
      </c>
      <c r="P88" t="n">
        <v>0</v>
      </c>
      <c r="Q88" t="n">
        <v>0</v>
      </c>
      <c r="R88" s="2" t="inlineStr"/>
    </row>
    <row r="89" ht="15" customHeight="1">
      <c r="A89" t="inlineStr">
        <is>
          <t>A 19047-2019</t>
        </is>
      </c>
      <c r="B89" s="1" t="n">
        <v>43563</v>
      </c>
      <c r="C89" s="1" t="n">
        <v>45513</v>
      </c>
      <c r="D89" t="inlineStr">
        <is>
          <t>ÖREBRO LÄN</t>
        </is>
      </c>
      <c r="E89" t="inlineStr">
        <is>
          <t>ÖREBRO</t>
        </is>
      </c>
      <c r="G89" t="n">
        <v>1.3</v>
      </c>
      <c r="H89" t="n">
        <v>0</v>
      </c>
      <c r="I89" t="n">
        <v>0</v>
      </c>
      <c r="J89" t="n">
        <v>0</v>
      </c>
      <c r="K89" t="n">
        <v>0</v>
      </c>
      <c r="L89" t="n">
        <v>0</v>
      </c>
      <c r="M89" t="n">
        <v>0</v>
      </c>
      <c r="N89" t="n">
        <v>0</v>
      </c>
      <c r="O89" t="n">
        <v>0</v>
      </c>
      <c r="P89" t="n">
        <v>0</v>
      </c>
      <c r="Q89" t="n">
        <v>0</v>
      </c>
      <c r="R89" s="2" t="inlineStr"/>
    </row>
    <row r="90" ht="15" customHeight="1">
      <c r="A90" t="inlineStr">
        <is>
          <t>A 19049-2019</t>
        </is>
      </c>
      <c r="B90" s="1" t="n">
        <v>43563</v>
      </c>
      <c r="C90" s="1" t="n">
        <v>45513</v>
      </c>
      <c r="D90" t="inlineStr">
        <is>
          <t>ÖREBRO LÄN</t>
        </is>
      </c>
      <c r="E90" t="inlineStr">
        <is>
          <t>ÖREBRO</t>
        </is>
      </c>
      <c r="G90" t="n">
        <v>2.1</v>
      </c>
      <c r="H90" t="n">
        <v>0</v>
      </c>
      <c r="I90" t="n">
        <v>0</v>
      </c>
      <c r="J90" t="n">
        <v>0</v>
      </c>
      <c r="K90" t="n">
        <v>0</v>
      </c>
      <c r="L90" t="n">
        <v>0</v>
      </c>
      <c r="M90" t="n">
        <v>0</v>
      </c>
      <c r="N90" t="n">
        <v>0</v>
      </c>
      <c r="O90" t="n">
        <v>0</v>
      </c>
      <c r="P90" t="n">
        <v>0</v>
      </c>
      <c r="Q90" t="n">
        <v>0</v>
      </c>
      <c r="R90" s="2" t="inlineStr"/>
    </row>
    <row r="91" ht="15" customHeight="1">
      <c r="A91" t="inlineStr">
        <is>
          <t>A 19044-2019</t>
        </is>
      </c>
      <c r="B91" s="1" t="n">
        <v>43563</v>
      </c>
      <c r="C91" s="1" t="n">
        <v>45513</v>
      </c>
      <c r="D91" t="inlineStr">
        <is>
          <t>ÖREBRO LÄN</t>
        </is>
      </c>
      <c r="E91" t="inlineStr">
        <is>
          <t>ÖREBRO</t>
        </is>
      </c>
      <c r="G91" t="n">
        <v>0.8</v>
      </c>
      <c r="H91" t="n">
        <v>0</v>
      </c>
      <c r="I91" t="n">
        <v>0</v>
      </c>
      <c r="J91" t="n">
        <v>0</v>
      </c>
      <c r="K91" t="n">
        <v>0</v>
      </c>
      <c r="L91" t="n">
        <v>0</v>
      </c>
      <c r="M91" t="n">
        <v>0</v>
      </c>
      <c r="N91" t="n">
        <v>0</v>
      </c>
      <c r="O91" t="n">
        <v>0</v>
      </c>
      <c r="P91" t="n">
        <v>0</v>
      </c>
      <c r="Q91" t="n">
        <v>0</v>
      </c>
      <c r="R91" s="2" t="inlineStr"/>
    </row>
    <row r="92" ht="15" customHeight="1">
      <c r="A92" t="inlineStr">
        <is>
          <t>A 19048-2019</t>
        </is>
      </c>
      <c r="B92" s="1" t="n">
        <v>43563</v>
      </c>
      <c r="C92" s="1" t="n">
        <v>45513</v>
      </c>
      <c r="D92" t="inlineStr">
        <is>
          <t>ÖREBRO LÄN</t>
        </is>
      </c>
      <c r="E92" t="inlineStr">
        <is>
          <t>ÖREBRO</t>
        </is>
      </c>
      <c r="G92" t="n">
        <v>1.8</v>
      </c>
      <c r="H92" t="n">
        <v>0</v>
      </c>
      <c r="I92" t="n">
        <v>0</v>
      </c>
      <c r="J92" t="n">
        <v>0</v>
      </c>
      <c r="K92" t="n">
        <v>0</v>
      </c>
      <c r="L92" t="n">
        <v>0</v>
      </c>
      <c r="M92" t="n">
        <v>0</v>
      </c>
      <c r="N92" t="n">
        <v>0</v>
      </c>
      <c r="O92" t="n">
        <v>0</v>
      </c>
      <c r="P92" t="n">
        <v>0</v>
      </c>
      <c r="Q92" t="n">
        <v>0</v>
      </c>
      <c r="R92" s="2" t="inlineStr"/>
    </row>
    <row r="93" ht="15" customHeight="1">
      <c r="A93" t="inlineStr">
        <is>
          <t>A 19045-2019</t>
        </is>
      </c>
      <c r="B93" s="1" t="n">
        <v>43563</v>
      </c>
      <c r="C93" s="1" t="n">
        <v>45513</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19046-2019</t>
        </is>
      </c>
      <c r="B94" s="1" t="n">
        <v>43563</v>
      </c>
      <c r="C94" s="1" t="n">
        <v>45513</v>
      </c>
      <c r="D94" t="inlineStr">
        <is>
          <t>ÖREBRO LÄN</t>
        </is>
      </c>
      <c r="E94" t="inlineStr">
        <is>
          <t>ÖREBRO</t>
        </is>
      </c>
      <c r="G94" t="n">
        <v>1.5</v>
      </c>
      <c r="H94" t="n">
        <v>0</v>
      </c>
      <c r="I94" t="n">
        <v>0</v>
      </c>
      <c r="J94" t="n">
        <v>0</v>
      </c>
      <c r="K94" t="n">
        <v>0</v>
      </c>
      <c r="L94" t="n">
        <v>0</v>
      </c>
      <c r="M94" t="n">
        <v>0</v>
      </c>
      <c r="N94" t="n">
        <v>0</v>
      </c>
      <c r="O94" t="n">
        <v>0</v>
      </c>
      <c r="P94" t="n">
        <v>0</v>
      </c>
      <c r="Q94" t="n">
        <v>0</v>
      </c>
      <c r="R94" s="2" t="inlineStr"/>
    </row>
    <row r="95" ht="15" customHeight="1">
      <c r="A95" t="inlineStr">
        <is>
          <t>A 20232-2019</t>
        </is>
      </c>
      <c r="B95" s="1" t="n">
        <v>43571</v>
      </c>
      <c r="C95" s="1" t="n">
        <v>45513</v>
      </c>
      <c r="D95" t="inlineStr">
        <is>
          <t>ÖREBRO LÄN</t>
        </is>
      </c>
      <c r="E95" t="inlineStr">
        <is>
          <t>ÖREBRO</t>
        </is>
      </c>
      <c r="G95" t="n">
        <v>1.1</v>
      </c>
      <c r="H95" t="n">
        <v>0</v>
      </c>
      <c r="I95" t="n">
        <v>0</v>
      </c>
      <c r="J95" t="n">
        <v>0</v>
      </c>
      <c r="K95" t="n">
        <v>0</v>
      </c>
      <c r="L95" t="n">
        <v>0</v>
      </c>
      <c r="M95" t="n">
        <v>0</v>
      </c>
      <c r="N95" t="n">
        <v>0</v>
      </c>
      <c r="O95" t="n">
        <v>0</v>
      </c>
      <c r="P95" t="n">
        <v>0</v>
      </c>
      <c r="Q95" t="n">
        <v>0</v>
      </c>
      <c r="R95" s="2" t="inlineStr"/>
    </row>
    <row r="96" ht="15" customHeight="1">
      <c r="A96" t="inlineStr">
        <is>
          <t>A 20609-2019</t>
        </is>
      </c>
      <c r="B96" s="1" t="n">
        <v>43572</v>
      </c>
      <c r="C96" s="1" t="n">
        <v>45513</v>
      </c>
      <c r="D96" t="inlineStr">
        <is>
          <t>ÖREBRO LÄN</t>
        </is>
      </c>
      <c r="E96" t="inlineStr">
        <is>
          <t>ÖREBRO</t>
        </is>
      </c>
      <c r="G96" t="n">
        <v>1.7</v>
      </c>
      <c r="H96" t="n">
        <v>0</v>
      </c>
      <c r="I96" t="n">
        <v>0</v>
      </c>
      <c r="J96" t="n">
        <v>0</v>
      </c>
      <c r="K96" t="n">
        <v>0</v>
      </c>
      <c r="L96" t="n">
        <v>0</v>
      </c>
      <c r="M96" t="n">
        <v>0</v>
      </c>
      <c r="N96" t="n">
        <v>0</v>
      </c>
      <c r="O96" t="n">
        <v>0</v>
      </c>
      <c r="P96" t="n">
        <v>0</v>
      </c>
      <c r="Q96" t="n">
        <v>0</v>
      </c>
      <c r="R96" s="2" t="inlineStr"/>
    </row>
    <row r="97" ht="15" customHeight="1">
      <c r="A97" t="inlineStr">
        <is>
          <t>A 21722-2019</t>
        </is>
      </c>
      <c r="B97" s="1" t="n">
        <v>43581</v>
      </c>
      <c r="C97" s="1" t="n">
        <v>45513</v>
      </c>
      <c r="D97" t="inlineStr">
        <is>
          <t>ÖREBRO LÄN</t>
        </is>
      </c>
      <c r="E97" t="inlineStr">
        <is>
          <t>ÖREBRO</t>
        </is>
      </c>
      <c r="G97" t="n">
        <v>11.3</v>
      </c>
      <c r="H97" t="n">
        <v>0</v>
      </c>
      <c r="I97" t="n">
        <v>0</v>
      </c>
      <c r="J97" t="n">
        <v>0</v>
      </c>
      <c r="K97" t="n">
        <v>0</v>
      </c>
      <c r="L97" t="n">
        <v>0</v>
      </c>
      <c r="M97" t="n">
        <v>0</v>
      </c>
      <c r="N97" t="n">
        <v>0</v>
      </c>
      <c r="O97" t="n">
        <v>0</v>
      </c>
      <c r="P97" t="n">
        <v>0</v>
      </c>
      <c r="Q97" t="n">
        <v>0</v>
      </c>
      <c r="R97" s="2" t="inlineStr"/>
    </row>
    <row r="98" ht="15" customHeight="1">
      <c r="A98" t="inlineStr">
        <is>
          <t>A 21830-2019</t>
        </is>
      </c>
      <c r="B98" s="1" t="n">
        <v>43584</v>
      </c>
      <c r="C98" s="1" t="n">
        <v>45513</v>
      </c>
      <c r="D98" t="inlineStr">
        <is>
          <t>ÖREBRO LÄN</t>
        </is>
      </c>
      <c r="E98" t="inlineStr">
        <is>
          <t>ÖREBRO</t>
        </is>
      </c>
      <c r="G98" t="n">
        <v>1.6</v>
      </c>
      <c r="H98" t="n">
        <v>0</v>
      </c>
      <c r="I98" t="n">
        <v>0</v>
      </c>
      <c r="J98" t="n">
        <v>0</v>
      </c>
      <c r="K98" t="n">
        <v>0</v>
      </c>
      <c r="L98" t="n">
        <v>0</v>
      </c>
      <c r="M98" t="n">
        <v>0</v>
      </c>
      <c r="N98" t="n">
        <v>0</v>
      </c>
      <c r="O98" t="n">
        <v>0</v>
      </c>
      <c r="P98" t="n">
        <v>0</v>
      </c>
      <c r="Q98" t="n">
        <v>0</v>
      </c>
      <c r="R98" s="2" t="inlineStr"/>
    </row>
    <row r="99" ht="15" customHeight="1">
      <c r="A99" t="inlineStr">
        <is>
          <t>A 21835-2019</t>
        </is>
      </c>
      <c r="B99" s="1" t="n">
        <v>43584</v>
      </c>
      <c r="C99" s="1" t="n">
        <v>45513</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22243-2019</t>
        </is>
      </c>
      <c r="B100" s="1" t="n">
        <v>43585</v>
      </c>
      <c r="C100" s="1" t="n">
        <v>45513</v>
      </c>
      <c r="D100" t="inlineStr">
        <is>
          <t>ÖREBRO LÄN</t>
        </is>
      </c>
      <c r="E100" t="inlineStr">
        <is>
          <t>ÖREBRO</t>
        </is>
      </c>
      <c r="G100" t="n">
        <v>2.8</v>
      </c>
      <c r="H100" t="n">
        <v>0</v>
      </c>
      <c r="I100" t="n">
        <v>0</v>
      </c>
      <c r="J100" t="n">
        <v>0</v>
      </c>
      <c r="K100" t="n">
        <v>0</v>
      </c>
      <c r="L100" t="n">
        <v>0</v>
      </c>
      <c r="M100" t="n">
        <v>0</v>
      </c>
      <c r="N100" t="n">
        <v>0</v>
      </c>
      <c r="O100" t="n">
        <v>0</v>
      </c>
      <c r="P100" t="n">
        <v>0</v>
      </c>
      <c r="Q100" t="n">
        <v>0</v>
      </c>
      <c r="R100" s="2" t="inlineStr"/>
    </row>
    <row r="101" ht="15" customHeight="1">
      <c r="A101" t="inlineStr">
        <is>
          <t>A 23667-2019</t>
        </is>
      </c>
      <c r="B101" s="1" t="n">
        <v>43594</v>
      </c>
      <c r="C101" s="1" t="n">
        <v>45513</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24092-2019</t>
        </is>
      </c>
      <c r="B102" s="1" t="n">
        <v>43598</v>
      </c>
      <c r="C102" s="1" t="n">
        <v>45513</v>
      </c>
      <c r="D102" t="inlineStr">
        <is>
          <t>ÖREBRO LÄN</t>
        </is>
      </c>
      <c r="E102" t="inlineStr">
        <is>
          <t>ÖREBRO</t>
        </is>
      </c>
      <c r="G102" t="n">
        <v>3.9</v>
      </c>
      <c r="H102" t="n">
        <v>0</v>
      </c>
      <c r="I102" t="n">
        <v>0</v>
      </c>
      <c r="J102" t="n">
        <v>0</v>
      </c>
      <c r="K102" t="n">
        <v>0</v>
      </c>
      <c r="L102" t="n">
        <v>0</v>
      </c>
      <c r="M102" t="n">
        <v>0</v>
      </c>
      <c r="N102" t="n">
        <v>0</v>
      </c>
      <c r="O102" t="n">
        <v>0</v>
      </c>
      <c r="P102" t="n">
        <v>0</v>
      </c>
      <c r="Q102" t="n">
        <v>0</v>
      </c>
      <c r="R102" s="2" t="inlineStr"/>
    </row>
    <row r="103" ht="15" customHeight="1">
      <c r="A103" t="inlineStr">
        <is>
          <t>A 25186-2019</t>
        </is>
      </c>
      <c r="B103" s="1" t="n">
        <v>43605</v>
      </c>
      <c r="C103" s="1" t="n">
        <v>45513</v>
      </c>
      <c r="D103" t="inlineStr">
        <is>
          <t>ÖREBRO LÄN</t>
        </is>
      </c>
      <c r="E103" t="inlineStr">
        <is>
          <t>ÖREBRO</t>
        </is>
      </c>
      <c r="G103" t="n">
        <v>2.3</v>
      </c>
      <c r="H103" t="n">
        <v>0</v>
      </c>
      <c r="I103" t="n">
        <v>0</v>
      </c>
      <c r="J103" t="n">
        <v>0</v>
      </c>
      <c r="K103" t="n">
        <v>0</v>
      </c>
      <c r="L103" t="n">
        <v>0</v>
      </c>
      <c r="M103" t="n">
        <v>0</v>
      </c>
      <c r="N103" t="n">
        <v>0</v>
      </c>
      <c r="O103" t="n">
        <v>0</v>
      </c>
      <c r="P103" t="n">
        <v>0</v>
      </c>
      <c r="Q103" t="n">
        <v>0</v>
      </c>
      <c r="R103" s="2" t="inlineStr"/>
      <c r="U103">
        <f>HYPERLINK("https://klasma.github.io/Logging_1880/knärot/A 25186-2019 karta knärot.png", "A 25186-2019")</f>
        <v/>
      </c>
      <c r="V103">
        <f>HYPERLINK("https://klasma.github.io/Logging_1880/klagomål/A 25186-2019 FSC-klagomål.docx", "A 25186-2019")</f>
        <v/>
      </c>
      <c r="W103">
        <f>HYPERLINK("https://klasma.github.io/Logging_1880/klagomålsmail/A 25186-2019 FSC-klagomål mail.docx", "A 25186-2019")</f>
        <v/>
      </c>
      <c r="X103">
        <f>HYPERLINK("https://klasma.github.io/Logging_1880/tillsyn/A 25186-2019 tillsynsbegäran.docx", "A 25186-2019")</f>
        <v/>
      </c>
      <c r="Y103">
        <f>HYPERLINK("https://klasma.github.io/Logging_1880/tillsynsmail/A 25186-2019 tillsynsbegäran mail.docx", "A 25186-2019")</f>
        <v/>
      </c>
    </row>
    <row r="104" ht="15" customHeight="1">
      <c r="A104" t="inlineStr">
        <is>
          <t>A 26306-2019</t>
        </is>
      </c>
      <c r="B104" s="1" t="n">
        <v>43612</v>
      </c>
      <c r="C104" s="1" t="n">
        <v>45513</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28925-2019</t>
        </is>
      </c>
      <c r="B105" s="1" t="n">
        <v>43619</v>
      </c>
      <c r="C105" s="1" t="n">
        <v>45513</v>
      </c>
      <c r="D105" t="inlineStr">
        <is>
          <t>ÖREBRO LÄN</t>
        </is>
      </c>
      <c r="E105" t="inlineStr">
        <is>
          <t>ÖREBRO</t>
        </is>
      </c>
      <c r="F105" t="inlineStr">
        <is>
          <t>Övriga Aktiebolag</t>
        </is>
      </c>
      <c r="G105" t="n">
        <v>17.9</v>
      </c>
      <c r="H105" t="n">
        <v>0</v>
      </c>
      <c r="I105" t="n">
        <v>0</v>
      </c>
      <c r="J105" t="n">
        <v>0</v>
      </c>
      <c r="K105" t="n">
        <v>0</v>
      </c>
      <c r="L105" t="n">
        <v>0</v>
      </c>
      <c r="M105" t="n">
        <v>0</v>
      </c>
      <c r="N105" t="n">
        <v>0</v>
      </c>
      <c r="O105" t="n">
        <v>0</v>
      </c>
      <c r="P105" t="n">
        <v>0</v>
      </c>
      <c r="Q105" t="n">
        <v>0</v>
      </c>
      <c r="R105" s="2" t="inlineStr"/>
    </row>
    <row r="106" ht="15" customHeight="1">
      <c r="A106" t="inlineStr">
        <is>
          <t>A 28660-2019</t>
        </is>
      </c>
      <c r="B106" s="1" t="n">
        <v>43627</v>
      </c>
      <c r="C106" s="1" t="n">
        <v>45513</v>
      </c>
      <c r="D106" t="inlineStr">
        <is>
          <t>ÖREBRO LÄN</t>
        </is>
      </c>
      <c r="E106" t="inlineStr">
        <is>
          <t>ÖREBRO</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31300-2019</t>
        </is>
      </c>
      <c r="B107" s="1" t="n">
        <v>43641</v>
      </c>
      <c r="C107" s="1" t="n">
        <v>45513</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31982-2019</t>
        </is>
      </c>
      <c r="B108" s="1" t="n">
        <v>43642</v>
      </c>
      <c r="C108" s="1" t="n">
        <v>45513</v>
      </c>
      <c r="D108" t="inlineStr">
        <is>
          <t>ÖREBRO LÄN</t>
        </is>
      </c>
      <c r="E108" t="inlineStr">
        <is>
          <t>ÖREBRO</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32701-2019</t>
        </is>
      </c>
      <c r="B109" s="1" t="n">
        <v>43647</v>
      </c>
      <c r="C109" s="1" t="n">
        <v>45513</v>
      </c>
      <c r="D109" t="inlineStr">
        <is>
          <t>ÖREBRO LÄN</t>
        </is>
      </c>
      <c r="E109" t="inlineStr">
        <is>
          <t>ÖREBRO</t>
        </is>
      </c>
      <c r="F109" t="inlineStr">
        <is>
          <t>Övriga Aktiebolag</t>
        </is>
      </c>
      <c r="G109" t="n">
        <v>6.4</v>
      </c>
      <c r="H109" t="n">
        <v>0</v>
      </c>
      <c r="I109" t="n">
        <v>0</v>
      </c>
      <c r="J109" t="n">
        <v>0</v>
      </c>
      <c r="K109" t="n">
        <v>0</v>
      </c>
      <c r="L109" t="n">
        <v>0</v>
      </c>
      <c r="M109" t="n">
        <v>0</v>
      </c>
      <c r="N109" t="n">
        <v>0</v>
      </c>
      <c r="O109" t="n">
        <v>0</v>
      </c>
      <c r="P109" t="n">
        <v>0</v>
      </c>
      <c r="Q109" t="n">
        <v>0</v>
      </c>
      <c r="R109" s="2" t="inlineStr"/>
    </row>
    <row r="110" ht="15" customHeight="1">
      <c r="A110" t="inlineStr">
        <is>
          <t>A 32861-2019</t>
        </is>
      </c>
      <c r="B110" s="1" t="n">
        <v>43648</v>
      </c>
      <c r="C110" s="1" t="n">
        <v>45513</v>
      </c>
      <c r="D110" t="inlineStr">
        <is>
          <t>ÖREBRO LÄN</t>
        </is>
      </c>
      <c r="E110" t="inlineStr">
        <is>
          <t>ÖREBRO</t>
        </is>
      </c>
      <c r="G110" t="n">
        <v>0.9</v>
      </c>
      <c r="H110" t="n">
        <v>0</v>
      </c>
      <c r="I110" t="n">
        <v>0</v>
      </c>
      <c r="J110" t="n">
        <v>0</v>
      </c>
      <c r="K110" t="n">
        <v>0</v>
      </c>
      <c r="L110" t="n">
        <v>0</v>
      </c>
      <c r="M110" t="n">
        <v>0</v>
      </c>
      <c r="N110" t="n">
        <v>0</v>
      </c>
      <c r="O110" t="n">
        <v>0</v>
      </c>
      <c r="P110" t="n">
        <v>0</v>
      </c>
      <c r="Q110" t="n">
        <v>0</v>
      </c>
      <c r="R110" s="2" t="inlineStr"/>
    </row>
    <row r="111" ht="15" customHeight="1">
      <c r="A111" t="inlineStr">
        <is>
          <t>A 33314-2019</t>
        </is>
      </c>
      <c r="B111" s="1" t="n">
        <v>43650</v>
      </c>
      <c r="C111" s="1" t="n">
        <v>45513</v>
      </c>
      <c r="D111" t="inlineStr">
        <is>
          <t>ÖREBRO LÄN</t>
        </is>
      </c>
      <c r="E111" t="inlineStr">
        <is>
          <t>ÖREBRO</t>
        </is>
      </c>
      <c r="G111" t="n">
        <v>3.6</v>
      </c>
      <c r="H111" t="n">
        <v>0</v>
      </c>
      <c r="I111" t="n">
        <v>0</v>
      </c>
      <c r="J111" t="n">
        <v>0</v>
      </c>
      <c r="K111" t="n">
        <v>0</v>
      </c>
      <c r="L111" t="n">
        <v>0</v>
      </c>
      <c r="M111" t="n">
        <v>0</v>
      </c>
      <c r="N111" t="n">
        <v>0</v>
      </c>
      <c r="O111" t="n">
        <v>0</v>
      </c>
      <c r="P111" t="n">
        <v>0</v>
      </c>
      <c r="Q111" t="n">
        <v>0</v>
      </c>
      <c r="R111" s="2" t="inlineStr"/>
    </row>
    <row r="112" ht="15" customHeight="1">
      <c r="A112" t="inlineStr">
        <is>
          <t>A 35557-2019</t>
        </is>
      </c>
      <c r="B112" s="1" t="n">
        <v>43654</v>
      </c>
      <c r="C112" s="1" t="n">
        <v>45513</v>
      </c>
      <c r="D112" t="inlineStr">
        <is>
          <t>ÖREBRO LÄN</t>
        </is>
      </c>
      <c r="E112" t="inlineStr">
        <is>
          <t>ÖREBRO</t>
        </is>
      </c>
      <c r="F112" t="inlineStr">
        <is>
          <t>Kommuner</t>
        </is>
      </c>
      <c r="G112" t="n">
        <v>1</v>
      </c>
      <c r="H112" t="n">
        <v>0</v>
      </c>
      <c r="I112" t="n">
        <v>0</v>
      </c>
      <c r="J112" t="n">
        <v>0</v>
      </c>
      <c r="K112" t="n">
        <v>0</v>
      </c>
      <c r="L112" t="n">
        <v>0</v>
      </c>
      <c r="M112" t="n">
        <v>0</v>
      </c>
      <c r="N112" t="n">
        <v>0</v>
      </c>
      <c r="O112" t="n">
        <v>0</v>
      </c>
      <c r="P112" t="n">
        <v>0</v>
      </c>
      <c r="Q112" t="n">
        <v>0</v>
      </c>
      <c r="R112" s="2" t="inlineStr"/>
    </row>
    <row r="113" ht="15" customHeight="1">
      <c r="A113" t="inlineStr">
        <is>
          <t>A 35625-2019</t>
        </is>
      </c>
      <c r="B113" s="1" t="n">
        <v>43655</v>
      </c>
      <c r="C113" s="1" t="n">
        <v>45513</v>
      </c>
      <c r="D113" t="inlineStr">
        <is>
          <t>ÖREBRO LÄN</t>
        </is>
      </c>
      <c r="E113" t="inlineStr">
        <is>
          <t>ÖREBRO</t>
        </is>
      </c>
      <c r="G113" t="n">
        <v>10.2</v>
      </c>
      <c r="H113" t="n">
        <v>0</v>
      </c>
      <c r="I113" t="n">
        <v>0</v>
      </c>
      <c r="J113" t="n">
        <v>0</v>
      </c>
      <c r="K113" t="n">
        <v>0</v>
      </c>
      <c r="L113" t="n">
        <v>0</v>
      </c>
      <c r="M113" t="n">
        <v>0</v>
      </c>
      <c r="N113" t="n">
        <v>0</v>
      </c>
      <c r="O113" t="n">
        <v>0</v>
      </c>
      <c r="P113" t="n">
        <v>0</v>
      </c>
      <c r="Q113" t="n">
        <v>0</v>
      </c>
      <c r="R113" s="2" t="inlineStr"/>
    </row>
    <row r="114" ht="15" customHeight="1">
      <c r="A114" t="inlineStr">
        <is>
          <t>A 35588-2019</t>
        </is>
      </c>
      <c r="B114" s="1" t="n">
        <v>43655</v>
      </c>
      <c r="C114" s="1" t="n">
        <v>45513</v>
      </c>
      <c r="D114" t="inlineStr">
        <is>
          <t>ÖREBRO LÄN</t>
        </is>
      </c>
      <c r="E114" t="inlineStr">
        <is>
          <t>ÖREBRO</t>
        </is>
      </c>
      <c r="G114" t="n">
        <v>4.6</v>
      </c>
      <c r="H114" t="n">
        <v>0</v>
      </c>
      <c r="I114" t="n">
        <v>0</v>
      </c>
      <c r="J114" t="n">
        <v>0</v>
      </c>
      <c r="K114" t="n">
        <v>0</v>
      </c>
      <c r="L114" t="n">
        <v>0</v>
      </c>
      <c r="M114" t="n">
        <v>0</v>
      </c>
      <c r="N114" t="n">
        <v>0</v>
      </c>
      <c r="O114" t="n">
        <v>0</v>
      </c>
      <c r="P114" t="n">
        <v>0</v>
      </c>
      <c r="Q114" t="n">
        <v>0</v>
      </c>
      <c r="R114" s="2" t="inlineStr"/>
    </row>
    <row r="115" ht="15" customHeight="1">
      <c r="A115" t="inlineStr">
        <is>
          <t>A 34895-2019</t>
        </is>
      </c>
      <c r="B115" s="1" t="n">
        <v>43658</v>
      </c>
      <c r="C115" s="1" t="n">
        <v>45513</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34965-2019</t>
        </is>
      </c>
      <c r="B116" s="1" t="n">
        <v>43658</v>
      </c>
      <c r="C116" s="1" t="n">
        <v>45513</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35846-2019</t>
        </is>
      </c>
      <c r="B117" s="1" t="n">
        <v>43665</v>
      </c>
      <c r="C117" s="1" t="n">
        <v>45513</v>
      </c>
      <c r="D117" t="inlineStr">
        <is>
          <t>ÖREBRO LÄN</t>
        </is>
      </c>
      <c r="E117" t="inlineStr">
        <is>
          <t>ÖREBRO</t>
        </is>
      </c>
      <c r="G117" t="n">
        <v>5</v>
      </c>
      <c r="H117" t="n">
        <v>0</v>
      </c>
      <c r="I117" t="n">
        <v>0</v>
      </c>
      <c r="J117" t="n">
        <v>0</v>
      </c>
      <c r="K117" t="n">
        <v>0</v>
      </c>
      <c r="L117" t="n">
        <v>0</v>
      </c>
      <c r="M117" t="n">
        <v>0</v>
      </c>
      <c r="N117" t="n">
        <v>0</v>
      </c>
      <c r="O117" t="n">
        <v>0</v>
      </c>
      <c r="P117" t="n">
        <v>0</v>
      </c>
      <c r="Q117" t="n">
        <v>0</v>
      </c>
      <c r="R117" s="2" t="inlineStr"/>
    </row>
    <row r="118" ht="15" customHeight="1">
      <c r="A118" t="inlineStr">
        <is>
          <t>A 36124-2019</t>
        </is>
      </c>
      <c r="B118" s="1" t="n">
        <v>43665</v>
      </c>
      <c r="C118" s="1" t="n">
        <v>45513</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36282-2019</t>
        </is>
      </c>
      <c r="B119" s="1" t="n">
        <v>43669</v>
      </c>
      <c r="C119" s="1" t="n">
        <v>45513</v>
      </c>
      <c r="D119" t="inlineStr">
        <is>
          <t>ÖREBRO LÄN</t>
        </is>
      </c>
      <c r="E119" t="inlineStr">
        <is>
          <t>ÖREBRO</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36283-2019</t>
        </is>
      </c>
      <c r="B120" s="1" t="n">
        <v>43669</v>
      </c>
      <c r="C120" s="1" t="n">
        <v>45513</v>
      </c>
      <c r="D120" t="inlineStr">
        <is>
          <t>ÖREBRO LÄN</t>
        </is>
      </c>
      <c r="E120" t="inlineStr">
        <is>
          <t>ÖREBRO</t>
        </is>
      </c>
      <c r="G120" t="n">
        <v>3.2</v>
      </c>
      <c r="H120" t="n">
        <v>0</v>
      </c>
      <c r="I120" t="n">
        <v>0</v>
      </c>
      <c r="J120" t="n">
        <v>0</v>
      </c>
      <c r="K120" t="n">
        <v>0</v>
      </c>
      <c r="L120" t="n">
        <v>0</v>
      </c>
      <c r="M120" t="n">
        <v>0</v>
      </c>
      <c r="N120" t="n">
        <v>0</v>
      </c>
      <c r="O120" t="n">
        <v>0</v>
      </c>
      <c r="P120" t="n">
        <v>0</v>
      </c>
      <c r="Q120" t="n">
        <v>0</v>
      </c>
      <c r="R120" s="2" t="inlineStr"/>
    </row>
    <row r="121" ht="15" customHeight="1">
      <c r="A121" t="inlineStr">
        <is>
          <t>A 36284-2019</t>
        </is>
      </c>
      <c r="B121" s="1" t="n">
        <v>43669</v>
      </c>
      <c r="C121" s="1" t="n">
        <v>45513</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36990-2019</t>
        </is>
      </c>
      <c r="B122" s="1" t="n">
        <v>43676</v>
      </c>
      <c r="C122" s="1" t="n">
        <v>45513</v>
      </c>
      <c r="D122" t="inlineStr">
        <is>
          <t>ÖREBRO LÄN</t>
        </is>
      </c>
      <c r="E122" t="inlineStr">
        <is>
          <t>ÖREBRO</t>
        </is>
      </c>
      <c r="G122" t="n">
        <v>5.1</v>
      </c>
      <c r="H122" t="n">
        <v>0</v>
      </c>
      <c r="I122" t="n">
        <v>0</v>
      </c>
      <c r="J122" t="n">
        <v>0</v>
      </c>
      <c r="K122" t="n">
        <v>0</v>
      </c>
      <c r="L122" t="n">
        <v>0</v>
      </c>
      <c r="M122" t="n">
        <v>0</v>
      </c>
      <c r="N122" t="n">
        <v>0</v>
      </c>
      <c r="O122" t="n">
        <v>0</v>
      </c>
      <c r="P122" t="n">
        <v>0</v>
      </c>
      <c r="Q122" t="n">
        <v>0</v>
      </c>
      <c r="R122" s="2" t="inlineStr"/>
    </row>
    <row r="123" ht="15" customHeight="1">
      <c r="A123" t="inlineStr">
        <is>
          <t>A 37254-2019</t>
        </is>
      </c>
      <c r="B123" s="1" t="n">
        <v>43677</v>
      </c>
      <c r="C123" s="1" t="n">
        <v>45513</v>
      </c>
      <c r="D123" t="inlineStr">
        <is>
          <t>ÖREBRO LÄN</t>
        </is>
      </c>
      <c r="E123" t="inlineStr">
        <is>
          <t>ÖREBRO</t>
        </is>
      </c>
      <c r="G123" t="n">
        <v>10.3</v>
      </c>
      <c r="H123" t="n">
        <v>0</v>
      </c>
      <c r="I123" t="n">
        <v>0</v>
      </c>
      <c r="J123" t="n">
        <v>0</v>
      </c>
      <c r="K123" t="n">
        <v>0</v>
      </c>
      <c r="L123" t="n">
        <v>0</v>
      </c>
      <c r="M123" t="n">
        <v>0</v>
      </c>
      <c r="N123" t="n">
        <v>0</v>
      </c>
      <c r="O123" t="n">
        <v>0</v>
      </c>
      <c r="P123" t="n">
        <v>0</v>
      </c>
      <c r="Q123" t="n">
        <v>0</v>
      </c>
      <c r="R123" s="2" t="inlineStr"/>
    </row>
    <row r="124" ht="15" customHeight="1">
      <c r="A124" t="inlineStr">
        <is>
          <t>A 37258-2019</t>
        </is>
      </c>
      <c r="B124" s="1" t="n">
        <v>43677</v>
      </c>
      <c r="C124" s="1" t="n">
        <v>45513</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37278-2019</t>
        </is>
      </c>
      <c r="B125" s="1" t="n">
        <v>43677</v>
      </c>
      <c r="C125" s="1" t="n">
        <v>45513</v>
      </c>
      <c r="D125" t="inlineStr">
        <is>
          <t>ÖREBRO LÄN</t>
        </is>
      </c>
      <c r="E125" t="inlineStr">
        <is>
          <t>ÖREBRO</t>
        </is>
      </c>
      <c r="G125" t="n">
        <v>7.9</v>
      </c>
      <c r="H125" t="n">
        <v>0</v>
      </c>
      <c r="I125" t="n">
        <v>0</v>
      </c>
      <c r="J125" t="n">
        <v>0</v>
      </c>
      <c r="K125" t="n">
        <v>0</v>
      </c>
      <c r="L125" t="n">
        <v>0</v>
      </c>
      <c r="M125" t="n">
        <v>0</v>
      </c>
      <c r="N125" t="n">
        <v>0</v>
      </c>
      <c r="O125" t="n">
        <v>0</v>
      </c>
      <c r="P125" t="n">
        <v>0</v>
      </c>
      <c r="Q125" t="n">
        <v>0</v>
      </c>
      <c r="R125" s="2" t="inlineStr"/>
    </row>
    <row r="126" ht="15" customHeight="1">
      <c r="A126" t="inlineStr">
        <is>
          <t>A 37930-2019</t>
        </is>
      </c>
      <c r="B126" s="1" t="n">
        <v>43683</v>
      </c>
      <c r="C126" s="1" t="n">
        <v>45513</v>
      </c>
      <c r="D126" t="inlineStr">
        <is>
          <t>ÖREBRO LÄN</t>
        </is>
      </c>
      <c r="E126" t="inlineStr">
        <is>
          <t>ÖREBRO</t>
        </is>
      </c>
      <c r="G126" t="n">
        <v>4.8</v>
      </c>
      <c r="H126" t="n">
        <v>0</v>
      </c>
      <c r="I126" t="n">
        <v>0</v>
      </c>
      <c r="J126" t="n">
        <v>0</v>
      </c>
      <c r="K126" t="n">
        <v>0</v>
      </c>
      <c r="L126" t="n">
        <v>0</v>
      </c>
      <c r="M126" t="n">
        <v>0</v>
      </c>
      <c r="N126" t="n">
        <v>0</v>
      </c>
      <c r="O126" t="n">
        <v>0</v>
      </c>
      <c r="P126" t="n">
        <v>0</v>
      </c>
      <c r="Q126" t="n">
        <v>0</v>
      </c>
      <c r="R126" s="2" t="inlineStr"/>
    </row>
    <row r="127" ht="15" customHeight="1">
      <c r="A127" t="inlineStr">
        <is>
          <t>A 38372-2019</t>
        </is>
      </c>
      <c r="B127" s="1" t="n">
        <v>43683</v>
      </c>
      <c r="C127" s="1" t="n">
        <v>45513</v>
      </c>
      <c r="D127" t="inlineStr">
        <is>
          <t>ÖREBRO LÄN</t>
        </is>
      </c>
      <c r="E127" t="inlineStr">
        <is>
          <t>ÖREBRO</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38389-2019</t>
        </is>
      </c>
      <c r="B128" s="1" t="n">
        <v>43685</v>
      </c>
      <c r="C128" s="1" t="n">
        <v>45513</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38885-2019</t>
        </is>
      </c>
      <c r="B129" s="1" t="n">
        <v>43686</v>
      </c>
      <c r="C129" s="1" t="n">
        <v>45513</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38923-2019</t>
        </is>
      </c>
      <c r="B130" s="1" t="n">
        <v>43689</v>
      </c>
      <c r="C130" s="1" t="n">
        <v>45513</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38846-2019</t>
        </is>
      </c>
      <c r="B131" s="1" t="n">
        <v>43689</v>
      </c>
      <c r="C131" s="1" t="n">
        <v>45513</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39303-2019</t>
        </is>
      </c>
      <c r="B132" s="1" t="n">
        <v>43690</v>
      </c>
      <c r="C132" s="1" t="n">
        <v>45513</v>
      </c>
      <c r="D132" t="inlineStr">
        <is>
          <t>ÖREBRO LÄN</t>
        </is>
      </c>
      <c r="E132" t="inlineStr">
        <is>
          <t>ÖREBRO</t>
        </is>
      </c>
      <c r="G132" t="n">
        <v>1.9</v>
      </c>
      <c r="H132" t="n">
        <v>0</v>
      </c>
      <c r="I132" t="n">
        <v>0</v>
      </c>
      <c r="J132" t="n">
        <v>0</v>
      </c>
      <c r="K132" t="n">
        <v>0</v>
      </c>
      <c r="L132" t="n">
        <v>0</v>
      </c>
      <c r="M132" t="n">
        <v>0</v>
      </c>
      <c r="N132" t="n">
        <v>0</v>
      </c>
      <c r="O132" t="n">
        <v>0</v>
      </c>
      <c r="P132" t="n">
        <v>0</v>
      </c>
      <c r="Q132" t="n">
        <v>0</v>
      </c>
      <c r="R132" s="2" t="inlineStr"/>
    </row>
    <row r="133" ht="15" customHeight="1">
      <c r="A133" t="inlineStr">
        <is>
          <t>A 39576-2019</t>
        </is>
      </c>
      <c r="B133" s="1" t="n">
        <v>43691</v>
      </c>
      <c r="C133" s="1" t="n">
        <v>45513</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39714-2019</t>
        </is>
      </c>
      <c r="B134" s="1" t="n">
        <v>43691</v>
      </c>
      <c r="C134" s="1" t="n">
        <v>45513</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40694-2019</t>
        </is>
      </c>
      <c r="B135" s="1" t="n">
        <v>43691</v>
      </c>
      <c r="C135" s="1" t="n">
        <v>45513</v>
      </c>
      <c r="D135" t="inlineStr">
        <is>
          <t>ÖREBRO LÄN</t>
        </is>
      </c>
      <c r="E135" t="inlineStr">
        <is>
          <t>ÖREBRO</t>
        </is>
      </c>
      <c r="F135" t="inlineStr">
        <is>
          <t>Kommuner</t>
        </is>
      </c>
      <c r="G135" t="n">
        <v>4</v>
      </c>
      <c r="H135" t="n">
        <v>0</v>
      </c>
      <c r="I135" t="n">
        <v>0</v>
      </c>
      <c r="J135" t="n">
        <v>0</v>
      </c>
      <c r="K135" t="n">
        <v>0</v>
      </c>
      <c r="L135" t="n">
        <v>0</v>
      </c>
      <c r="M135" t="n">
        <v>0</v>
      </c>
      <c r="N135" t="n">
        <v>0</v>
      </c>
      <c r="O135" t="n">
        <v>0</v>
      </c>
      <c r="P135" t="n">
        <v>0</v>
      </c>
      <c r="Q135" t="n">
        <v>0</v>
      </c>
      <c r="R135" s="2" t="inlineStr"/>
    </row>
    <row r="136" ht="15" customHeight="1">
      <c r="A136" t="inlineStr">
        <is>
          <t>A 40556-2019</t>
        </is>
      </c>
      <c r="B136" s="1" t="n">
        <v>43691</v>
      </c>
      <c r="C136" s="1" t="n">
        <v>45513</v>
      </c>
      <c r="D136" t="inlineStr">
        <is>
          <t>ÖREBRO LÄN</t>
        </is>
      </c>
      <c r="E136" t="inlineStr">
        <is>
          <t>ÖREBRO</t>
        </is>
      </c>
      <c r="G136" t="n">
        <v>6.5</v>
      </c>
      <c r="H136" t="n">
        <v>0</v>
      </c>
      <c r="I136" t="n">
        <v>0</v>
      </c>
      <c r="J136" t="n">
        <v>0</v>
      </c>
      <c r="K136" t="n">
        <v>0</v>
      </c>
      <c r="L136" t="n">
        <v>0</v>
      </c>
      <c r="M136" t="n">
        <v>0</v>
      </c>
      <c r="N136" t="n">
        <v>0</v>
      </c>
      <c r="O136" t="n">
        <v>0</v>
      </c>
      <c r="P136" t="n">
        <v>0</v>
      </c>
      <c r="Q136" t="n">
        <v>0</v>
      </c>
      <c r="R136" s="2" t="inlineStr"/>
    </row>
    <row r="137" ht="15" customHeight="1">
      <c r="A137" t="inlineStr">
        <is>
          <t>A 41063-2019</t>
        </is>
      </c>
      <c r="B137" s="1" t="n">
        <v>43698</v>
      </c>
      <c r="C137" s="1" t="n">
        <v>45513</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44039-2019</t>
        </is>
      </c>
      <c r="B138" s="1" t="n">
        <v>43704</v>
      </c>
      <c r="C138" s="1" t="n">
        <v>45513</v>
      </c>
      <c r="D138" t="inlineStr">
        <is>
          <t>ÖREBRO LÄN</t>
        </is>
      </c>
      <c r="E138" t="inlineStr">
        <is>
          <t>ÖREBRO</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43692-2019</t>
        </is>
      </c>
      <c r="B139" s="1" t="n">
        <v>43704</v>
      </c>
      <c r="C139" s="1" t="n">
        <v>45513</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44034-2019</t>
        </is>
      </c>
      <c r="B140" s="1" t="n">
        <v>43704</v>
      </c>
      <c r="C140" s="1" t="n">
        <v>45513</v>
      </c>
      <c r="D140" t="inlineStr">
        <is>
          <t>ÖREBRO LÄN</t>
        </is>
      </c>
      <c r="E140" t="inlineStr">
        <is>
          <t>ÖREBRO</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44152-2019</t>
        </is>
      </c>
      <c r="B141" s="1" t="n">
        <v>43704</v>
      </c>
      <c r="C141" s="1" t="n">
        <v>45513</v>
      </c>
      <c r="D141" t="inlineStr">
        <is>
          <t>ÖREBRO LÄN</t>
        </is>
      </c>
      <c r="E141" t="inlineStr">
        <is>
          <t>ÖREBRO</t>
        </is>
      </c>
      <c r="F141" t="inlineStr">
        <is>
          <t>Kommuner</t>
        </is>
      </c>
      <c r="G141" t="n">
        <v>0.6</v>
      </c>
      <c r="H141" t="n">
        <v>0</v>
      </c>
      <c r="I141" t="n">
        <v>0</v>
      </c>
      <c r="J141" t="n">
        <v>0</v>
      </c>
      <c r="K141" t="n">
        <v>0</v>
      </c>
      <c r="L141" t="n">
        <v>0</v>
      </c>
      <c r="M141" t="n">
        <v>0</v>
      </c>
      <c r="N141" t="n">
        <v>0</v>
      </c>
      <c r="O141" t="n">
        <v>0</v>
      </c>
      <c r="P141" t="n">
        <v>0</v>
      </c>
      <c r="Q141" t="n">
        <v>0</v>
      </c>
      <c r="R141" s="2" t="inlineStr"/>
    </row>
    <row r="142" ht="15" customHeight="1">
      <c r="A142" t="inlineStr">
        <is>
          <t>A 43632-2019</t>
        </is>
      </c>
      <c r="B142" s="1" t="n">
        <v>43704</v>
      </c>
      <c r="C142" s="1" t="n">
        <v>45513</v>
      </c>
      <c r="D142" t="inlineStr">
        <is>
          <t>ÖREBRO LÄN</t>
        </is>
      </c>
      <c r="E142" t="inlineStr">
        <is>
          <t>ÖREBRO</t>
        </is>
      </c>
      <c r="G142" t="n">
        <v>4.7</v>
      </c>
      <c r="H142" t="n">
        <v>0</v>
      </c>
      <c r="I142" t="n">
        <v>0</v>
      </c>
      <c r="J142" t="n">
        <v>0</v>
      </c>
      <c r="K142" t="n">
        <v>0</v>
      </c>
      <c r="L142" t="n">
        <v>0</v>
      </c>
      <c r="M142" t="n">
        <v>0</v>
      </c>
      <c r="N142" t="n">
        <v>0</v>
      </c>
      <c r="O142" t="n">
        <v>0</v>
      </c>
      <c r="P142" t="n">
        <v>0</v>
      </c>
      <c r="Q142" t="n">
        <v>0</v>
      </c>
      <c r="R142" s="2" t="inlineStr"/>
    </row>
    <row r="143" ht="15" customHeight="1">
      <c r="A143" t="inlineStr">
        <is>
          <t>A 43007-2019</t>
        </is>
      </c>
      <c r="B143" s="1" t="n">
        <v>43705</v>
      </c>
      <c r="C143" s="1" t="n">
        <v>45513</v>
      </c>
      <c r="D143" t="inlineStr">
        <is>
          <t>ÖREBRO LÄN</t>
        </is>
      </c>
      <c r="E143" t="inlineStr">
        <is>
          <t>ÖREBRO</t>
        </is>
      </c>
      <c r="G143" t="n">
        <v>7.5</v>
      </c>
      <c r="H143" t="n">
        <v>0</v>
      </c>
      <c r="I143" t="n">
        <v>0</v>
      </c>
      <c r="J143" t="n">
        <v>0</v>
      </c>
      <c r="K143" t="n">
        <v>0</v>
      </c>
      <c r="L143" t="n">
        <v>0</v>
      </c>
      <c r="M143" t="n">
        <v>0</v>
      </c>
      <c r="N143" t="n">
        <v>0</v>
      </c>
      <c r="O143" t="n">
        <v>0</v>
      </c>
      <c r="P143" t="n">
        <v>0</v>
      </c>
      <c r="Q143" t="n">
        <v>0</v>
      </c>
      <c r="R143" s="2" t="inlineStr"/>
    </row>
    <row r="144" ht="15" customHeight="1">
      <c r="A144" t="inlineStr">
        <is>
          <t>A 44153-2019</t>
        </is>
      </c>
      <c r="B144" s="1" t="n">
        <v>43710</v>
      </c>
      <c r="C144" s="1" t="n">
        <v>45513</v>
      </c>
      <c r="D144" t="inlineStr">
        <is>
          <t>ÖREBRO LÄN</t>
        </is>
      </c>
      <c r="E144" t="inlineStr">
        <is>
          <t>ÖREBRO</t>
        </is>
      </c>
      <c r="G144" t="n">
        <v>5.5</v>
      </c>
      <c r="H144" t="n">
        <v>0</v>
      </c>
      <c r="I144" t="n">
        <v>0</v>
      </c>
      <c r="J144" t="n">
        <v>0</v>
      </c>
      <c r="K144" t="n">
        <v>0</v>
      </c>
      <c r="L144" t="n">
        <v>0</v>
      </c>
      <c r="M144" t="n">
        <v>0</v>
      </c>
      <c r="N144" t="n">
        <v>0</v>
      </c>
      <c r="O144" t="n">
        <v>0</v>
      </c>
      <c r="P144" t="n">
        <v>0</v>
      </c>
      <c r="Q144" t="n">
        <v>0</v>
      </c>
      <c r="R144" s="2" t="inlineStr"/>
    </row>
    <row r="145" ht="15" customHeight="1">
      <c r="A145" t="inlineStr">
        <is>
          <t>A 44280-2019</t>
        </is>
      </c>
      <c r="B145" s="1" t="n">
        <v>43710</v>
      </c>
      <c r="C145" s="1" t="n">
        <v>45513</v>
      </c>
      <c r="D145" t="inlineStr">
        <is>
          <t>ÖREBRO LÄN</t>
        </is>
      </c>
      <c r="E145" t="inlineStr">
        <is>
          <t>ÖREBRO</t>
        </is>
      </c>
      <c r="G145" t="n">
        <v>0.8</v>
      </c>
      <c r="H145" t="n">
        <v>0</v>
      </c>
      <c r="I145" t="n">
        <v>0</v>
      </c>
      <c r="J145" t="n">
        <v>0</v>
      </c>
      <c r="K145" t="n">
        <v>0</v>
      </c>
      <c r="L145" t="n">
        <v>0</v>
      </c>
      <c r="M145" t="n">
        <v>0</v>
      </c>
      <c r="N145" t="n">
        <v>0</v>
      </c>
      <c r="O145" t="n">
        <v>0</v>
      </c>
      <c r="P145" t="n">
        <v>0</v>
      </c>
      <c r="Q145" t="n">
        <v>0</v>
      </c>
      <c r="R145" s="2" t="inlineStr"/>
    </row>
    <row r="146" ht="15" customHeight="1">
      <c r="A146" t="inlineStr">
        <is>
          <t>A 44277-2019</t>
        </is>
      </c>
      <c r="B146" s="1" t="n">
        <v>43710</v>
      </c>
      <c r="C146" s="1" t="n">
        <v>45513</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45309-2019</t>
        </is>
      </c>
      <c r="B147" s="1" t="n">
        <v>43710</v>
      </c>
      <c r="C147" s="1" t="n">
        <v>45513</v>
      </c>
      <c r="D147" t="inlineStr">
        <is>
          <t>ÖREBRO LÄN</t>
        </is>
      </c>
      <c r="E147" t="inlineStr">
        <is>
          <t>ÖREBRO</t>
        </is>
      </c>
      <c r="F147" t="inlineStr">
        <is>
          <t>Kommuner</t>
        </is>
      </c>
      <c r="G147" t="n">
        <v>1.5</v>
      </c>
      <c r="H147" t="n">
        <v>0</v>
      </c>
      <c r="I147" t="n">
        <v>0</v>
      </c>
      <c r="J147" t="n">
        <v>0</v>
      </c>
      <c r="K147" t="n">
        <v>0</v>
      </c>
      <c r="L147" t="n">
        <v>0</v>
      </c>
      <c r="M147" t="n">
        <v>0</v>
      </c>
      <c r="N147" t="n">
        <v>0</v>
      </c>
      <c r="O147" t="n">
        <v>0</v>
      </c>
      <c r="P147" t="n">
        <v>0</v>
      </c>
      <c r="Q147" t="n">
        <v>0</v>
      </c>
      <c r="R147" s="2" t="inlineStr"/>
    </row>
    <row r="148" ht="15" customHeight="1">
      <c r="A148" t="inlineStr">
        <is>
          <t>A 44278-2019</t>
        </is>
      </c>
      <c r="B148" s="1" t="n">
        <v>43710</v>
      </c>
      <c r="C148" s="1" t="n">
        <v>45513</v>
      </c>
      <c r="D148" t="inlineStr">
        <is>
          <t>ÖREBRO LÄN</t>
        </is>
      </c>
      <c r="E148" t="inlineStr">
        <is>
          <t>ÖREBRO</t>
        </is>
      </c>
      <c r="G148" t="n">
        <v>3.6</v>
      </c>
      <c r="H148" t="n">
        <v>0</v>
      </c>
      <c r="I148" t="n">
        <v>0</v>
      </c>
      <c r="J148" t="n">
        <v>0</v>
      </c>
      <c r="K148" t="n">
        <v>0</v>
      </c>
      <c r="L148" t="n">
        <v>0</v>
      </c>
      <c r="M148" t="n">
        <v>0</v>
      </c>
      <c r="N148" t="n">
        <v>0</v>
      </c>
      <c r="O148" t="n">
        <v>0</v>
      </c>
      <c r="P148" t="n">
        <v>0</v>
      </c>
      <c r="Q148" t="n">
        <v>0</v>
      </c>
      <c r="R148" s="2" t="inlineStr"/>
    </row>
    <row r="149" ht="15" customHeight="1">
      <c r="A149" t="inlineStr">
        <is>
          <t>A 45311-2019</t>
        </is>
      </c>
      <c r="B149" s="1" t="n">
        <v>43710</v>
      </c>
      <c r="C149" s="1" t="n">
        <v>45513</v>
      </c>
      <c r="D149" t="inlineStr">
        <is>
          <t>ÖREBRO LÄN</t>
        </is>
      </c>
      <c r="E149" t="inlineStr">
        <is>
          <t>ÖREBRO</t>
        </is>
      </c>
      <c r="F149" t="inlineStr">
        <is>
          <t>Kommuner</t>
        </is>
      </c>
      <c r="G149" t="n">
        <v>0.5</v>
      </c>
      <c r="H149" t="n">
        <v>0</v>
      </c>
      <c r="I149" t="n">
        <v>0</v>
      </c>
      <c r="J149" t="n">
        <v>0</v>
      </c>
      <c r="K149" t="n">
        <v>0</v>
      </c>
      <c r="L149" t="n">
        <v>0</v>
      </c>
      <c r="M149" t="n">
        <v>0</v>
      </c>
      <c r="N149" t="n">
        <v>0</v>
      </c>
      <c r="O149" t="n">
        <v>0</v>
      </c>
      <c r="P149" t="n">
        <v>0</v>
      </c>
      <c r="Q149" t="n">
        <v>0</v>
      </c>
      <c r="R149" s="2" t="inlineStr"/>
    </row>
    <row r="150" ht="15" customHeight="1">
      <c r="A150" t="inlineStr">
        <is>
          <t>A 44948-2019</t>
        </is>
      </c>
      <c r="B150" s="1" t="n">
        <v>43713</v>
      </c>
      <c r="C150" s="1" t="n">
        <v>45513</v>
      </c>
      <c r="D150" t="inlineStr">
        <is>
          <t>ÖREBRO LÄN</t>
        </is>
      </c>
      <c r="E150" t="inlineStr">
        <is>
          <t>ÖREBRO</t>
        </is>
      </c>
      <c r="G150" t="n">
        <v>3.4</v>
      </c>
      <c r="H150" t="n">
        <v>0</v>
      </c>
      <c r="I150" t="n">
        <v>0</v>
      </c>
      <c r="J150" t="n">
        <v>0</v>
      </c>
      <c r="K150" t="n">
        <v>0</v>
      </c>
      <c r="L150" t="n">
        <v>0</v>
      </c>
      <c r="M150" t="n">
        <v>0</v>
      </c>
      <c r="N150" t="n">
        <v>0</v>
      </c>
      <c r="O150" t="n">
        <v>0</v>
      </c>
      <c r="P150" t="n">
        <v>0</v>
      </c>
      <c r="Q150" t="n">
        <v>0</v>
      </c>
      <c r="R150" s="2" t="inlineStr"/>
    </row>
    <row r="151" ht="15" customHeight="1">
      <c r="A151" t="inlineStr">
        <is>
          <t>A 45418-2019</t>
        </is>
      </c>
      <c r="B151" s="1" t="n">
        <v>43714</v>
      </c>
      <c r="C151" s="1" t="n">
        <v>45513</v>
      </c>
      <c r="D151" t="inlineStr">
        <is>
          <t>ÖREBRO LÄN</t>
        </is>
      </c>
      <c r="E151" t="inlineStr">
        <is>
          <t>ÖREBRO</t>
        </is>
      </c>
      <c r="G151" t="n">
        <v>9</v>
      </c>
      <c r="H151" t="n">
        <v>0</v>
      </c>
      <c r="I151" t="n">
        <v>0</v>
      </c>
      <c r="J151" t="n">
        <v>0</v>
      </c>
      <c r="K151" t="n">
        <v>0</v>
      </c>
      <c r="L151" t="n">
        <v>0</v>
      </c>
      <c r="M151" t="n">
        <v>0</v>
      </c>
      <c r="N151" t="n">
        <v>0</v>
      </c>
      <c r="O151" t="n">
        <v>0</v>
      </c>
      <c r="P151" t="n">
        <v>0</v>
      </c>
      <c r="Q151" t="n">
        <v>0</v>
      </c>
      <c r="R151" s="2" t="inlineStr"/>
    </row>
    <row r="152" ht="15" customHeight="1">
      <c r="A152" t="inlineStr">
        <is>
          <t>A 45420-2019</t>
        </is>
      </c>
      <c r="B152" s="1" t="n">
        <v>43714</v>
      </c>
      <c r="C152" s="1" t="n">
        <v>45513</v>
      </c>
      <c r="D152" t="inlineStr">
        <is>
          <t>ÖREBRO LÄN</t>
        </is>
      </c>
      <c r="E152" t="inlineStr">
        <is>
          <t>ÖREBRO</t>
        </is>
      </c>
      <c r="G152" t="n">
        <v>4.2</v>
      </c>
      <c r="H152" t="n">
        <v>0</v>
      </c>
      <c r="I152" t="n">
        <v>0</v>
      </c>
      <c r="J152" t="n">
        <v>0</v>
      </c>
      <c r="K152" t="n">
        <v>0</v>
      </c>
      <c r="L152" t="n">
        <v>0</v>
      </c>
      <c r="M152" t="n">
        <v>0</v>
      </c>
      <c r="N152" t="n">
        <v>0</v>
      </c>
      <c r="O152" t="n">
        <v>0</v>
      </c>
      <c r="P152" t="n">
        <v>0</v>
      </c>
      <c r="Q152" t="n">
        <v>0</v>
      </c>
      <c r="R152" s="2" t="inlineStr"/>
    </row>
    <row r="153" ht="15" customHeight="1">
      <c r="A153" t="inlineStr">
        <is>
          <t>A 45686-2019</t>
        </is>
      </c>
      <c r="B153" s="1" t="n">
        <v>43714</v>
      </c>
      <c r="C153" s="1" t="n">
        <v>45513</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46552-2019</t>
        </is>
      </c>
      <c r="B154" s="1" t="n">
        <v>43719</v>
      </c>
      <c r="C154" s="1" t="n">
        <v>45513</v>
      </c>
      <c r="D154" t="inlineStr">
        <is>
          <t>ÖREBRO LÄN</t>
        </is>
      </c>
      <c r="E154" t="inlineStr">
        <is>
          <t>ÖREBRO</t>
        </is>
      </c>
      <c r="G154" t="n">
        <v>1.3</v>
      </c>
      <c r="H154" t="n">
        <v>0</v>
      </c>
      <c r="I154" t="n">
        <v>0</v>
      </c>
      <c r="J154" t="n">
        <v>0</v>
      </c>
      <c r="K154" t="n">
        <v>0</v>
      </c>
      <c r="L154" t="n">
        <v>0</v>
      </c>
      <c r="M154" t="n">
        <v>0</v>
      </c>
      <c r="N154" t="n">
        <v>0</v>
      </c>
      <c r="O154" t="n">
        <v>0</v>
      </c>
      <c r="P154" t="n">
        <v>0</v>
      </c>
      <c r="Q154" t="n">
        <v>0</v>
      </c>
      <c r="R154" s="2" t="inlineStr"/>
    </row>
    <row r="155" ht="15" customHeight="1">
      <c r="A155" t="inlineStr">
        <is>
          <t>A 46900-2019</t>
        </is>
      </c>
      <c r="B155" s="1" t="n">
        <v>43719</v>
      </c>
      <c r="C155" s="1" t="n">
        <v>45513</v>
      </c>
      <c r="D155" t="inlineStr">
        <is>
          <t>ÖREBRO LÄN</t>
        </is>
      </c>
      <c r="E155" t="inlineStr">
        <is>
          <t>ÖREBRO</t>
        </is>
      </c>
      <c r="F155" t="inlineStr">
        <is>
          <t>Kommuner</t>
        </is>
      </c>
      <c r="G155" t="n">
        <v>1.7</v>
      </c>
      <c r="H155" t="n">
        <v>0</v>
      </c>
      <c r="I155" t="n">
        <v>0</v>
      </c>
      <c r="J155" t="n">
        <v>0</v>
      </c>
      <c r="K155" t="n">
        <v>0</v>
      </c>
      <c r="L155" t="n">
        <v>0</v>
      </c>
      <c r="M155" t="n">
        <v>0</v>
      </c>
      <c r="N155" t="n">
        <v>0</v>
      </c>
      <c r="O155" t="n">
        <v>0</v>
      </c>
      <c r="P155" t="n">
        <v>0</v>
      </c>
      <c r="Q155" t="n">
        <v>0</v>
      </c>
      <c r="R155" s="2" t="inlineStr"/>
    </row>
    <row r="156" ht="15" customHeight="1">
      <c r="A156" t="inlineStr">
        <is>
          <t>A 49926-2019</t>
        </is>
      </c>
      <c r="B156" s="1" t="n">
        <v>43733</v>
      </c>
      <c r="C156" s="1" t="n">
        <v>45513</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50074-2019</t>
        </is>
      </c>
      <c r="B157" s="1" t="n">
        <v>43734</v>
      </c>
      <c r="C157" s="1" t="n">
        <v>45513</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50080-2019</t>
        </is>
      </c>
      <c r="B158" s="1" t="n">
        <v>43734</v>
      </c>
      <c r="C158" s="1" t="n">
        <v>45513</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50148-2019</t>
        </is>
      </c>
      <c r="B159" s="1" t="n">
        <v>43734</v>
      </c>
      <c r="C159" s="1" t="n">
        <v>45513</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50366-2019</t>
        </is>
      </c>
      <c r="B160" s="1" t="n">
        <v>43735</v>
      </c>
      <c r="C160" s="1" t="n">
        <v>45513</v>
      </c>
      <c r="D160" t="inlineStr">
        <is>
          <t>ÖREBRO LÄN</t>
        </is>
      </c>
      <c r="E160" t="inlineStr">
        <is>
          <t>ÖREBRO</t>
        </is>
      </c>
      <c r="G160" t="n">
        <v>3.5</v>
      </c>
      <c r="H160" t="n">
        <v>0</v>
      </c>
      <c r="I160" t="n">
        <v>0</v>
      </c>
      <c r="J160" t="n">
        <v>0</v>
      </c>
      <c r="K160" t="n">
        <v>0</v>
      </c>
      <c r="L160" t="n">
        <v>0</v>
      </c>
      <c r="M160" t="n">
        <v>0</v>
      </c>
      <c r="N160" t="n">
        <v>0</v>
      </c>
      <c r="O160" t="n">
        <v>0</v>
      </c>
      <c r="P160" t="n">
        <v>0</v>
      </c>
      <c r="Q160" t="n">
        <v>0</v>
      </c>
      <c r="R160" s="2" t="inlineStr"/>
    </row>
    <row r="161" ht="15" customHeight="1">
      <c r="A161" t="inlineStr">
        <is>
          <t>A 50321-2019</t>
        </is>
      </c>
      <c r="B161" s="1" t="n">
        <v>43735</v>
      </c>
      <c r="C161" s="1" t="n">
        <v>45513</v>
      </c>
      <c r="D161" t="inlineStr">
        <is>
          <t>ÖREBRO LÄN</t>
        </is>
      </c>
      <c r="E161" t="inlineStr">
        <is>
          <t>ÖREBRO</t>
        </is>
      </c>
      <c r="G161" t="n">
        <v>1.6</v>
      </c>
      <c r="H161" t="n">
        <v>0</v>
      </c>
      <c r="I161" t="n">
        <v>0</v>
      </c>
      <c r="J161" t="n">
        <v>0</v>
      </c>
      <c r="K161" t="n">
        <v>0</v>
      </c>
      <c r="L161" t="n">
        <v>0</v>
      </c>
      <c r="M161" t="n">
        <v>0</v>
      </c>
      <c r="N161" t="n">
        <v>0</v>
      </c>
      <c r="O161" t="n">
        <v>0</v>
      </c>
      <c r="P161" t="n">
        <v>0</v>
      </c>
      <c r="Q161" t="n">
        <v>0</v>
      </c>
      <c r="R161" s="2" t="inlineStr"/>
    </row>
    <row r="162" ht="15" customHeight="1">
      <c r="A162" t="inlineStr">
        <is>
          <t>A 52705-2019</t>
        </is>
      </c>
      <c r="B162" s="1" t="n">
        <v>43739</v>
      </c>
      <c r="C162" s="1" t="n">
        <v>45513</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51808-2019</t>
        </is>
      </c>
      <c r="B163" s="1" t="n">
        <v>43741</v>
      </c>
      <c r="C163" s="1" t="n">
        <v>45513</v>
      </c>
      <c r="D163" t="inlineStr">
        <is>
          <t>ÖREBRO LÄN</t>
        </is>
      </c>
      <c r="E163" t="inlineStr">
        <is>
          <t>ÖREBRO</t>
        </is>
      </c>
      <c r="G163" t="n">
        <v>1.4</v>
      </c>
      <c r="H163" t="n">
        <v>0</v>
      </c>
      <c r="I163" t="n">
        <v>0</v>
      </c>
      <c r="J163" t="n">
        <v>0</v>
      </c>
      <c r="K163" t="n">
        <v>0</v>
      </c>
      <c r="L163" t="n">
        <v>0</v>
      </c>
      <c r="M163" t="n">
        <v>0</v>
      </c>
      <c r="N163" t="n">
        <v>0</v>
      </c>
      <c r="O163" t="n">
        <v>0</v>
      </c>
      <c r="P163" t="n">
        <v>0</v>
      </c>
      <c r="Q163" t="n">
        <v>0</v>
      </c>
      <c r="R163" s="2" t="inlineStr"/>
    </row>
    <row r="164" ht="15" customHeight="1">
      <c r="A164" t="inlineStr">
        <is>
          <t>A 54181-2019</t>
        </is>
      </c>
      <c r="B164" s="1" t="n">
        <v>43745</v>
      </c>
      <c r="C164" s="1" t="n">
        <v>45513</v>
      </c>
      <c r="D164" t="inlineStr">
        <is>
          <t>ÖREBRO LÄN</t>
        </is>
      </c>
      <c r="E164" t="inlineStr">
        <is>
          <t>ÖREBRO</t>
        </is>
      </c>
      <c r="F164" t="inlineStr">
        <is>
          <t>Övriga Aktiebolag</t>
        </is>
      </c>
      <c r="G164" t="n">
        <v>7.6</v>
      </c>
      <c r="H164" t="n">
        <v>0</v>
      </c>
      <c r="I164" t="n">
        <v>0</v>
      </c>
      <c r="J164" t="n">
        <v>0</v>
      </c>
      <c r="K164" t="n">
        <v>0</v>
      </c>
      <c r="L164" t="n">
        <v>0</v>
      </c>
      <c r="M164" t="n">
        <v>0</v>
      </c>
      <c r="N164" t="n">
        <v>0</v>
      </c>
      <c r="O164" t="n">
        <v>0</v>
      </c>
      <c r="P164" t="n">
        <v>0</v>
      </c>
      <c r="Q164" t="n">
        <v>0</v>
      </c>
      <c r="R164" s="2" t="inlineStr"/>
    </row>
    <row r="165" ht="15" customHeight="1">
      <c r="A165" t="inlineStr">
        <is>
          <t>A 53446-2019</t>
        </is>
      </c>
      <c r="B165" s="1" t="n">
        <v>43748</v>
      </c>
      <c r="C165" s="1" t="n">
        <v>45513</v>
      </c>
      <c r="D165" t="inlineStr">
        <is>
          <t>ÖREBRO LÄN</t>
        </is>
      </c>
      <c r="E165" t="inlineStr">
        <is>
          <t>ÖREBRO</t>
        </is>
      </c>
      <c r="G165" t="n">
        <v>4.1</v>
      </c>
      <c r="H165" t="n">
        <v>0</v>
      </c>
      <c r="I165" t="n">
        <v>0</v>
      </c>
      <c r="J165" t="n">
        <v>0</v>
      </c>
      <c r="K165" t="n">
        <v>0</v>
      </c>
      <c r="L165" t="n">
        <v>0</v>
      </c>
      <c r="M165" t="n">
        <v>0</v>
      </c>
      <c r="N165" t="n">
        <v>0</v>
      </c>
      <c r="O165" t="n">
        <v>0</v>
      </c>
      <c r="P165" t="n">
        <v>0</v>
      </c>
      <c r="Q165" t="n">
        <v>0</v>
      </c>
      <c r="R165" s="2" t="inlineStr"/>
    </row>
    <row r="166" ht="15" customHeight="1">
      <c r="A166" t="inlineStr">
        <is>
          <t>A 54912-2019</t>
        </is>
      </c>
      <c r="B166" s="1" t="n">
        <v>43755</v>
      </c>
      <c r="C166" s="1" t="n">
        <v>45513</v>
      </c>
      <c r="D166" t="inlineStr">
        <is>
          <t>ÖREBRO LÄN</t>
        </is>
      </c>
      <c r="E166" t="inlineStr">
        <is>
          <t>ÖREBRO</t>
        </is>
      </c>
      <c r="F166" t="inlineStr">
        <is>
          <t>Allmännings- och besparingsskogar</t>
        </is>
      </c>
      <c r="G166" t="n">
        <v>15.1</v>
      </c>
      <c r="H166" t="n">
        <v>0</v>
      </c>
      <c r="I166" t="n">
        <v>0</v>
      </c>
      <c r="J166" t="n">
        <v>0</v>
      </c>
      <c r="K166" t="n">
        <v>0</v>
      </c>
      <c r="L166" t="n">
        <v>0</v>
      </c>
      <c r="M166" t="n">
        <v>0</v>
      </c>
      <c r="N166" t="n">
        <v>0</v>
      </c>
      <c r="O166" t="n">
        <v>0</v>
      </c>
      <c r="P166" t="n">
        <v>0</v>
      </c>
      <c r="Q166" t="n">
        <v>0</v>
      </c>
      <c r="R166" s="2" t="inlineStr"/>
    </row>
    <row r="167" ht="15" customHeight="1">
      <c r="A167" t="inlineStr">
        <is>
          <t>A 57706-2019</t>
        </is>
      </c>
      <c r="B167" s="1" t="n">
        <v>43761</v>
      </c>
      <c r="C167" s="1" t="n">
        <v>45513</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56963-2019</t>
        </is>
      </c>
      <c r="B168" s="1" t="n">
        <v>43766</v>
      </c>
      <c r="C168" s="1" t="n">
        <v>45513</v>
      </c>
      <c r="D168" t="inlineStr">
        <is>
          <t>ÖREBRO LÄN</t>
        </is>
      </c>
      <c r="E168" t="inlineStr">
        <is>
          <t>ÖREBRO</t>
        </is>
      </c>
      <c r="G168" t="n">
        <v>4</v>
      </c>
      <c r="H168" t="n">
        <v>0</v>
      </c>
      <c r="I168" t="n">
        <v>0</v>
      </c>
      <c r="J168" t="n">
        <v>0</v>
      </c>
      <c r="K168" t="n">
        <v>0</v>
      </c>
      <c r="L168" t="n">
        <v>0</v>
      </c>
      <c r="M168" t="n">
        <v>0</v>
      </c>
      <c r="N168" t="n">
        <v>0</v>
      </c>
      <c r="O168" t="n">
        <v>0</v>
      </c>
      <c r="P168" t="n">
        <v>0</v>
      </c>
      <c r="Q168" t="n">
        <v>0</v>
      </c>
      <c r="R168" s="2" t="inlineStr"/>
    </row>
    <row r="169" ht="15" customHeight="1">
      <c r="A169" t="inlineStr">
        <is>
          <t>A 57673-2019</t>
        </is>
      </c>
      <c r="B169" s="1" t="n">
        <v>43768</v>
      </c>
      <c r="C169" s="1" t="n">
        <v>45513</v>
      </c>
      <c r="D169" t="inlineStr">
        <is>
          <t>ÖREBRO LÄN</t>
        </is>
      </c>
      <c r="E169" t="inlineStr">
        <is>
          <t>ÖREBRO</t>
        </is>
      </c>
      <c r="G169" t="n">
        <v>2.2</v>
      </c>
      <c r="H169" t="n">
        <v>0</v>
      </c>
      <c r="I169" t="n">
        <v>0</v>
      </c>
      <c r="J169" t="n">
        <v>0</v>
      </c>
      <c r="K169" t="n">
        <v>0</v>
      </c>
      <c r="L169" t="n">
        <v>0</v>
      </c>
      <c r="M169" t="n">
        <v>0</v>
      </c>
      <c r="N169" t="n">
        <v>0</v>
      </c>
      <c r="O169" t="n">
        <v>0</v>
      </c>
      <c r="P169" t="n">
        <v>0</v>
      </c>
      <c r="Q169" t="n">
        <v>0</v>
      </c>
      <c r="R169" s="2" t="inlineStr"/>
    </row>
    <row r="170" ht="15" customHeight="1">
      <c r="A170" t="inlineStr">
        <is>
          <t>A 58955-2019</t>
        </is>
      </c>
      <c r="B170" s="1" t="n">
        <v>43774</v>
      </c>
      <c r="C170" s="1" t="n">
        <v>45513</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59109-2019</t>
        </is>
      </c>
      <c r="B171" s="1" t="n">
        <v>43775</v>
      </c>
      <c r="C171" s="1" t="n">
        <v>45513</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59582-2019</t>
        </is>
      </c>
      <c r="B172" s="1" t="n">
        <v>43776</v>
      </c>
      <c r="C172" s="1" t="n">
        <v>45513</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60960-2019</t>
        </is>
      </c>
      <c r="B173" s="1" t="n">
        <v>43782</v>
      </c>
      <c r="C173" s="1" t="n">
        <v>45513</v>
      </c>
      <c r="D173" t="inlineStr">
        <is>
          <t>ÖREBRO LÄN</t>
        </is>
      </c>
      <c r="E173" t="inlineStr">
        <is>
          <t>ÖREBRO</t>
        </is>
      </c>
      <c r="G173" t="n">
        <v>1.5</v>
      </c>
      <c r="H173" t="n">
        <v>0</v>
      </c>
      <c r="I173" t="n">
        <v>0</v>
      </c>
      <c r="J173" t="n">
        <v>0</v>
      </c>
      <c r="K173" t="n">
        <v>0</v>
      </c>
      <c r="L173" t="n">
        <v>0</v>
      </c>
      <c r="M173" t="n">
        <v>0</v>
      </c>
      <c r="N173" t="n">
        <v>0</v>
      </c>
      <c r="O173" t="n">
        <v>0</v>
      </c>
      <c r="P173" t="n">
        <v>0</v>
      </c>
      <c r="Q173" t="n">
        <v>0</v>
      </c>
      <c r="R173" s="2" t="inlineStr"/>
    </row>
    <row r="174" ht="15" customHeight="1">
      <c r="A174" t="inlineStr">
        <is>
          <t>A 61408-2019</t>
        </is>
      </c>
      <c r="B174" s="1" t="n">
        <v>43783</v>
      </c>
      <c r="C174" s="1" t="n">
        <v>45513</v>
      </c>
      <c r="D174" t="inlineStr">
        <is>
          <t>ÖREBRO LÄN</t>
        </is>
      </c>
      <c r="E174" t="inlineStr">
        <is>
          <t>ÖREBRO</t>
        </is>
      </c>
      <c r="F174" t="inlineStr">
        <is>
          <t>Övriga Aktiebolag</t>
        </is>
      </c>
      <c r="G174" t="n">
        <v>0.9</v>
      </c>
      <c r="H174" t="n">
        <v>0</v>
      </c>
      <c r="I174" t="n">
        <v>0</v>
      </c>
      <c r="J174" t="n">
        <v>0</v>
      </c>
      <c r="K174" t="n">
        <v>0</v>
      </c>
      <c r="L174" t="n">
        <v>0</v>
      </c>
      <c r="M174" t="n">
        <v>0</v>
      </c>
      <c r="N174" t="n">
        <v>0</v>
      </c>
      <c r="O174" t="n">
        <v>0</v>
      </c>
      <c r="P174" t="n">
        <v>0</v>
      </c>
      <c r="Q174" t="n">
        <v>0</v>
      </c>
      <c r="R174" s="2" t="inlineStr"/>
    </row>
    <row r="175" ht="15" customHeight="1">
      <c r="A175" t="inlineStr">
        <is>
          <t>A 61669-2019</t>
        </is>
      </c>
      <c r="B175" s="1" t="n">
        <v>43783</v>
      </c>
      <c r="C175" s="1" t="n">
        <v>45513</v>
      </c>
      <c r="D175" t="inlineStr">
        <is>
          <t>ÖREBRO LÄN</t>
        </is>
      </c>
      <c r="E175" t="inlineStr">
        <is>
          <t>ÖREBRO</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61552-2019</t>
        </is>
      </c>
      <c r="B176" s="1" t="n">
        <v>43784</v>
      </c>
      <c r="C176" s="1" t="n">
        <v>45513</v>
      </c>
      <c r="D176" t="inlineStr">
        <is>
          <t>ÖREBRO LÄN</t>
        </is>
      </c>
      <c r="E176" t="inlineStr">
        <is>
          <t>ÖREBRO</t>
        </is>
      </c>
      <c r="G176" t="n">
        <v>1</v>
      </c>
      <c r="H176" t="n">
        <v>0</v>
      </c>
      <c r="I176" t="n">
        <v>0</v>
      </c>
      <c r="J176" t="n">
        <v>0</v>
      </c>
      <c r="K176" t="n">
        <v>0</v>
      </c>
      <c r="L176" t="n">
        <v>0</v>
      </c>
      <c r="M176" t="n">
        <v>0</v>
      </c>
      <c r="N176" t="n">
        <v>0</v>
      </c>
      <c r="O176" t="n">
        <v>0</v>
      </c>
      <c r="P176" t="n">
        <v>0</v>
      </c>
      <c r="Q176" t="n">
        <v>0</v>
      </c>
      <c r="R176" s="2" t="inlineStr"/>
    </row>
    <row r="177" ht="15" customHeight="1">
      <c r="A177" t="inlineStr">
        <is>
          <t>A 61812-2019</t>
        </is>
      </c>
      <c r="B177" s="1" t="n">
        <v>43786</v>
      </c>
      <c r="C177" s="1" t="n">
        <v>45513</v>
      </c>
      <c r="D177" t="inlineStr">
        <is>
          <t>ÖREBRO LÄN</t>
        </is>
      </c>
      <c r="E177" t="inlineStr">
        <is>
          <t>ÖREBRO</t>
        </is>
      </c>
      <c r="G177" t="n">
        <v>5.8</v>
      </c>
      <c r="H177" t="n">
        <v>0</v>
      </c>
      <c r="I177" t="n">
        <v>0</v>
      </c>
      <c r="J177" t="n">
        <v>0</v>
      </c>
      <c r="K177" t="n">
        <v>0</v>
      </c>
      <c r="L177" t="n">
        <v>0</v>
      </c>
      <c r="M177" t="n">
        <v>0</v>
      </c>
      <c r="N177" t="n">
        <v>0</v>
      </c>
      <c r="O177" t="n">
        <v>0</v>
      </c>
      <c r="P177" t="n">
        <v>0</v>
      </c>
      <c r="Q177" t="n">
        <v>0</v>
      </c>
      <c r="R177" s="2" t="inlineStr"/>
    </row>
    <row r="178" ht="15" customHeight="1">
      <c r="A178" t="inlineStr">
        <is>
          <t>A 62131-2019</t>
        </is>
      </c>
      <c r="B178" s="1" t="n">
        <v>43787</v>
      </c>
      <c r="C178" s="1" t="n">
        <v>45513</v>
      </c>
      <c r="D178" t="inlineStr">
        <is>
          <t>ÖREBRO LÄN</t>
        </is>
      </c>
      <c r="E178" t="inlineStr">
        <is>
          <t>ÖREBRO</t>
        </is>
      </c>
      <c r="G178" t="n">
        <v>2.6</v>
      </c>
      <c r="H178" t="n">
        <v>0</v>
      </c>
      <c r="I178" t="n">
        <v>0</v>
      </c>
      <c r="J178" t="n">
        <v>0</v>
      </c>
      <c r="K178" t="n">
        <v>0</v>
      </c>
      <c r="L178" t="n">
        <v>0</v>
      </c>
      <c r="M178" t="n">
        <v>0</v>
      </c>
      <c r="N178" t="n">
        <v>0</v>
      </c>
      <c r="O178" t="n">
        <v>0</v>
      </c>
      <c r="P178" t="n">
        <v>0</v>
      </c>
      <c r="Q178" t="n">
        <v>0</v>
      </c>
      <c r="R178" s="2" t="inlineStr"/>
    </row>
    <row r="179" ht="15" customHeight="1">
      <c r="A179" t="inlineStr">
        <is>
          <t>A 63970-2019</t>
        </is>
      </c>
      <c r="B179" s="1" t="n">
        <v>43790</v>
      </c>
      <c r="C179" s="1" t="n">
        <v>45513</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63722-2019</t>
        </is>
      </c>
      <c r="B180" s="1" t="n">
        <v>43790</v>
      </c>
      <c r="C180" s="1" t="n">
        <v>45513</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63310-2019</t>
        </is>
      </c>
      <c r="B181" s="1" t="n">
        <v>43794</v>
      </c>
      <c r="C181" s="1" t="n">
        <v>45513</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64095-2019</t>
        </is>
      </c>
      <c r="B182" s="1" t="n">
        <v>43796</v>
      </c>
      <c r="C182" s="1" t="n">
        <v>45513</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64384-2019</t>
        </is>
      </c>
      <c r="B183" s="1" t="n">
        <v>43797</v>
      </c>
      <c r="C183" s="1" t="n">
        <v>45513</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65014-2019</t>
        </is>
      </c>
      <c r="B184" s="1" t="n">
        <v>43801</v>
      </c>
      <c r="C184" s="1" t="n">
        <v>45513</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64984-2019</t>
        </is>
      </c>
      <c r="B185" s="1" t="n">
        <v>43801</v>
      </c>
      <c r="C185" s="1" t="n">
        <v>45513</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65011-2019</t>
        </is>
      </c>
      <c r="B186" s="1" t="n">
        <v>43801</v>
      </c>
      <c r="C186" s="1" t="n">
        <v>45513</v>
      </c>
      <c r="D186" t="inlineStr">
        <is>
          <t>ÖREBRO LÄN</t>
        </is>
      </c>
      <c r="E186" t="inlineStr">
        <is>
          <t>ÖREBRO</t>
        </is>
      </c>
      <c r="G186" t="n">
        <v>0.3</v>
      </c>
      <c r="H186" t="n">
        <v>0</v>
      </c>
      <c r="I186" t="n">
        <v>0</v>
      </c>
      <c r="J186" t="n">
        <v>0</v>
      </c>
      <c r="K186" t="n">
        <v>0</v>
      </c>
      <c r="L186" t="n">
        <v>0</v>
      </c>
      <c r="M186" t="n">
        <v>0</v>
      </c>
      <c r="N186" t="n">
        <v>0</v>
      </c>
      <c r="O186" t="n">
        <v>0</v>
      </c>
      <c r="P186" t="n">
        <v>0</v>
      </c>
      <c r="Q186" t="n">
        <v>0</v>
      </c>
      <c r="R186" s="2" t="inlineStr"/>
    </row>
    <row r="187" ht="15" customHeight="1">
      <c r="A187" t="inlineStr">
        <is>
          <t>A 65937-2019</t>
        </is>
      </c>
      <c r="B187" s="1" t="n">
        <v>43801</v>
      </c>
      <c r="C187" s="1" t="n">
        <v>45513</v>
      </c>
      <c r="D187" t="inlineStr">
        <is>
          <t>ÖREBRO LÄN</t>
        </is>
      </c>
      <c r="E187" t="inlineStr">
        <is>
          <t>ÖREBRO</t>
        </is>
      </c>
      <c r="G187" t="n">
        <v>4.6</v>
      </c>
      <c r="H187" t="n">
        <v>0</v>
      </c>
      <c r="I187" t="n">
        <v>0</v>
      </c>
      <c r="J187" t="n">
        <v>0</v>
      </c>
      <c r="K187" t="n">
        <v>0</v>
      </c>
      <c r="L187" t="n">
        <v>0</v>
      </c>
      <c r="M187" t="n">
        <v>0</v>
      </c>
      <c r="N187" t="n">
        <v>0</v>
      </c>
      <c r="O187" t="n">
        <v>0</v>
      </c>
      <c r="P187" t="n">
        <v>0</v>
      </c>
      <c r="Q187" t="n">
        <v>0</v>
      </c>
      <c r="R187" s="2" t="inlineStr"/>
    </row>
    <row r="188" ht="15" customHeight="1">
      <c r="A188" t="inlineStr">
        <is>
          <t>A 65451-2019</t>
        </is>
      </c>
      <c r="B188" s="1" t="n">
        <v>43803</v>
      </c>
      <c r="C188" s="1" t="n">
        <v>45513</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65738-2019</t>
        </is>
      </c>
      <c r="B189" s="1" t="n">
        <v>43804</v>
      </c>
      <c r="C189" s="1" t="n">
        <v>45513</v>
      </c>
      <c r="D189" t="inlineStr">
        <is>
          <t>ÖREBRO LÄN</t>
        </is>
      </c>
      <c r="E189" t="inlineStr">
        <is>
          <t>ÖREBRO</t>
        </is>
      </c>
      <c r="G189" t="n">
        <v>6</v>
      </c>
      <c r="H189" t="n">
        <v>0</v>
      </c>
      <c r="I189" t="n">
        <v>0</v>
      </c>
      <c r="J189" t="n">
        <v>0</v>
      </c>
      <c r="K189" t="n">
        <v>0</v>
      </c>
      <c r="L189" t="n">
        <v>0</v>
      </c>
      <c r="M189" t="n">
        <v>0</v>
      </c>
      <c r="N189" t="n">
        <v>0</v>
      </c>
      <c r="O189" t="n">
        <v>0</v>
      </c>
      <c r="P189" t="n">
        <v>0</v>
      </c>
      <c r="Q189" t="n">
        <v>0</v>
      </c>
      <c r="R189" s="2" t="inlineStr"/>
    </row>
    <row r="190" ht="15" customHeight="1">
      <c r="A190" t="inlineStr">
        <is>
          <t>A 66581-2019</t>
        </is>
      </c>
      <c r="B190" s="1" t="n">
        <v>43809</v>
      </c>
      <c r="C190" s="1" t="n">
        <v>45513</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66562-2019</t>
        </is>
      </c>
      <c r="B191" s="1" t="n">
        <v>43809</v>
      </c>
      <c r="C191" s="1" t="n">
        <v>45513</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67939-2019</t>
        </is>
      </c>
      <c r="B192" s="1" t="n">
        <v>43810</v>
      </c>
      <c r="C192" s="1" t="n">
        <v>45513</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67471-2019</t>
        </is>
      </c>
      <c r="B193" s="1" t="n">
        <v>43814</v>
      </c>
      <c r="C193" s="1" t="n">
        <v>45513</v>
      </c>
      <c r="D193" t="inlineStr">
        <is>
          <t>ÖREBRO LÄN</t>
        </is>
      </c>
      <c r="E193" t="inlineStr">
        <is>
          <t>ÖREBRO</t>
        </is>
      </c>
      <c r="G193" t="n">
        <v>7</v>
      </c>
      <c r="H193" t="n">
        <v>0</v>
      </c>
      <c r="I193" t="n">
        <v>0</v>
      </c>
      <c r="J193" t="n">
        <v>0</v>
      </c>
      <c r="K193" t="n">
        <v>0</v>
      </c>
      <c r="L193" t="n">
        <v>0</v>
      </c>
      <c r="M193" t="n">
        <v>0</v>
      </c>
      <c r="N193" t="n">
        <v>0</v>
      </c>
      <c r="O193" t="n">
        <v>0</v>
      </c>
      <c r="P193" t="n">
        <v>0</v>
      </c>
      <c r="Q193" t="n">
        <v>0</v>
      </c>
      <c r="R193" s="2" t="inlineStr"/>
    </row>
    <row r="194" ht="15" customHeight="1">
      <c r="A194" t="inlineStr">
        <is>
          <t>A 67469-2019</t>
        </is>
      </c>
      <c r="B194" s="1" t="n">
        <v>43814</v>
      </c>
      <c r="C194" s="1" t="n">
        <v>45513</v>
      </c>
      <c r="D194" t="inlineStr">
        <is>
          <t>ÖREBRO LÄN</t>
        </is>
      </c>
      <c r="E194" t="inlineStr">
        <is>
          <t>ÖREBRO</t>
        </is>
      </c>
      <c r="G194" t="n">
        <v>2.5</v>
      </c>
      <c r="H194" t="n">
        <v>0</v>
      </c>
      <c r="I194" t="n">
        <v>0</v>
      </c>
      <c r="J194" t="n">
        <v>0</v>
      </c>
      <c r="K194" t="n">
        <v>0</v>
      </c>
      <c r="L194" t="n">
        <v>0</v>
      </c>
      <c r="M194" t="n">
        <v>0</v>
      </c>
      <c r="N194" t="n">
        <v>0</v>
      </c>
      <c r="O194" t="n">
        <v>0</v>
      </c>
      <c r="P194" t="n">
        <v>0</v>
      </c>
      <c r="Q194" t="n">
        <v>0</v>
      </c>
      <c r="R194" s="2" t="inlineStr"/>
    </row>
    <row r="195" ht="15" customHeight="1">
      <c r="A195" t="inlineStr">
        <is>
          <t>A 67475-2019</t>
        </is>
      </c>
      <c r="B195" s="1" t="n">
        <v>43814</v>
      </c>
      <c r="C195" s="1" t="n">
        <v>45513</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67477-2019</t>
        </is>
      </c>
      <c r="B196" s="1" t="n">
        <v>43814</v>
      </c>
      <c r="C196" s="1" t="n">
        <v>45513</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68541-2019</t>
        </is>
      </c>
      <c r="B197" s="1" t="n">
        <v>43818</v>
      </c>
      <c r="C197" s="1" t="n">
        <v>45513</v>
      </c>
      <c r="D197" t="inlineStr">
        <is>
          <t>ÖREBRO LÄN</t>
        </is>
      </c>
      <c r="E197" t="inlineStr">
        <is>
          <t>ÖREBRO</t>
        </is>
      </c>
      <c r="G197" t="n">
        <v>5.9</v>
      </c>
      <c r="H197" t="n">
        <v>0</v>
      </c>
      <c r="I197" t="n">
        <v>0</v>
      </c>
      <c r="J197" t="n">
        <v>0</v>
      </c>
      <c r="K197" t="n">
        <v>0</v>
      </c>
      <c r="L197" t="n">
        <v>0</v>
      </c>
      <c r="M197" t="n">
        <v>0</v>
      </c>
      <c r="N197" t="n">
        <v>0</v>
      </c>
      <c r="O197" t="n">
        <v>0</v>
      </c>
      <c r="P197" t="n">
        <v>0</v>
      </c>
      <c r="Q197" t="n">
        <v>0</v>
      </c>
      <c r="R197" s="2" t="inlineStr"/>
    </row>
    <row r="198" ht="15" customHeight="1">
      <c r="A198" t="inlineStr">
        <is>
          <t>A 68554-2019</t>
        </is>
      </c>
      <c r="B198" s="1" t="n">
        <v>43818</v>
      </c>
      <c r="C198" s="1" t="n">
        <v>45513</v>
      </c>
      <c r="D198" t="inlineStr">
        <is>
          <t>ÖREBRO LÄN</t>
        </is>
      </c>
      <c r="E198" t="inlineStr">
        <is>
          <t>ÖREBRO</t>
        </is>
      </c>
      <c r="G198" t="n">
        <v>2.4</v>
      </c>
      <c r="H198" t="n">
        <v>0</v>
      </c>
      <c r="I198" t="n">
        <v>0</v>
      </c>
      <c r="J198" t="n">
        <v>0</v>
      </c>
      <c r="K198" t="n">
        <v>0</v>
      </c>
      <c r="L198" t="n">
        <v>0</v>
      </c>
      <c r="M198" t="n">
        <v>0</v>
      </c>
      <c r="N198" t="n">
        <v>0</v>
      </c>
      <c r="O198" t="n">
        <v>0</v>
      </c>
      <c r="P198" t="n">
        <v>0</v>
      </c>
      <c r="Q198" t="n">
        <v>0</v>
      </c>
      <c r="R198" s="2" t="inlineStr"/>
    </row>
    <row r="199" ht="15" customHeight="1">
      <c r="A199" t="inlineStr">
        <is>
          <t>A 257-2020</t>
        </is>
      </c>
      <c r="B199" s="1" t="n">
        <v>43836</v>
      </c>
      <c r="C199" s="1" t="n">
        <v>45513</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760-2020</t>
        </is>
      </c>
      <c r="B200" s="1" t="n">
        <v>43838</v>
      </c>
      <c r="C200" s="1" t="n">
        <v>45513</v>
      </c>
      <c r="D200" t="inlineStr">
        <is>
          <t>ÖREBRO LÄN</t>
        </is>
      </c>
      <c r="E200" t="inlineStr">
        <is>
          <t>ÖREBRO</t>
        </is>
      </c>
      <c r="G200" t="n">
        <v>6.2</v>
      </c>
      <c r="H200" t="n">
        <v>0</v>
      </c>
      <c r="I200" t="n">
        <v>0</v>
      </c>
      <c r="J200" t="n">
        <v>0</v>
      </c>
      <c r="K200" t="n">
        <v>0</v>
      </c>
      <c r="L200" t="n">
        <v>0</v>
      </c>
      <c r="M200" t="n">
        <v>0</v>
      </c>
      <c r="N200" t="n">
        <v>0</v>
      </c>
      <c r="O200" t="n">
        <v>0</v>
      </c>
      <c r="P200" t="n">
        <v>0</v>
      </c>
      <c r="Q200" t="n">
        <v>0</v>
      </c>
      <c r="R200" s="2" t="inlineStr"/>
    </row>
    <row r="201" ht="15" customHeight="1">
      <c r="A201" t="inlineStr">
        <is>
          <t>A 2329-2020</t>
        </is>
      </c>
      <c r="B201" s="1" t="n">
        <v>43840</v>
      </c>
      <c r="C201" s="1" t="n">
        <v>45513</v>
      </c>
      <c r="D201" t="inlineStr">
        <is>
          <t>ÖREBRO LÄN</t>
        </is>
      </c>
      <c r="E201" t="inlineStr">
        <is>
          <t>ÖREBRO</t>
        </is>
      </c>
      <c r="F201" t="inlineStr">
        <is>
          <t>Kommuner</t>
        </is>
      </c>
      <c r="G201" t="n">
        <v>3.7</v>
      </c>
      <c r="H201" t="n">
        <v>0</v>
      </c>
      <c r="I201" t="n">
        <v>0</v>
      </c>
      <c r="J201" t="n">
        <v>0</v>
      </c>
      <c r="K201" t="n">
        <v>0</v>
      </c>
      <c r="L201" t="n">
        <v>0</v>
      </c>
      <c r="M201" t="n">
        <v>0</v>
      </c>
      <c r="N201" t="n">
        <v>0</v>
      </c>
      <c r="O201" t="n">
        <v>0</v>
      </c>
      <c r="P201" t="n">
        <v>0</v>
      </c>
      <c r="Q201" t="n">
        <v>0</v>
      </c>
      <c r="R201" s="2" t="inlineStr"/>
    </row>
    <row r="202" ht="15" customHeight="1">
      <c r="A202" t="inlineStr">
        <is>
          <t>A 1311-2020</t>
        </is>
      </c>
      <c r="B202" s="1" t="n">
        <v>43843</v>
      </c>
      <c r="C202" s="1" t="n">
        <v>45513</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1574-2020</t>
        </is>
      </c>
      <c r="B203" s="1" t="n">
        <v>43844</v>
      </c>
      <c r="C203" s="1" t="n">
        <v>45513</v>
      </c>
      <c r="D203" t="inlineStr">
        <is>
          <t>ÖREBRO LÄN</t>
        </is>
      </c>
      <c r="E203" t="inlineStr">
        <is>
          <t>ÖREBRO</t>
        </is>
      </c>
      <c r="G203" t="n">
        <v>1</v>
      </c>
      <c r="H203" t="n">
        <v>0</v>
      </c>
      <c r="I203" t="n">
        <v>0</v>
      </c>
      <c r="J203" t="n">
        <v>0</v>
      </c>
      <c r="K203" t="n">
        <v>0</v>
      </c>
      <c r="L203" t="n">
        <v>0</v>
      </c>
      <c r="M203" t="n">
        <v>0</v>
      </c>
      <c r="N203" t="n">
        <v>0</v>
      </c>
      <c r="O203" t="n">
        <v>0</v>
      </c>
      <c r="P203" t="n">
        <v>0</v>
      </c>
      <c r="Q203" t="n">
        <v>0</v>
      </c>
      <c r="R203" s="2" t="inlineStr"/>
    </row>
    <row r="204" ht="15" customHeight="1">
      <c r="A204" t="inlineStr">
        <is>
          <t>A 1580-2020</t>
        </is>
      </c>
      <c r="B204" s="1" t="n">
        <v>43844</v>
      </c>
      <c r="C204" s="1" t="n">
        <v>45513</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1577-2020</t>
        </is>
      </c>
      <c r="B205" s="1" t="n">
        <v>43844</v>
      </c>
      <c r="C205" s="1" t="n">
        <v>45513</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1582-2020</t>
        </is>
      </c>
      <c r="B206" s="1" t="n">
        <v>43844</v>
      </c>
      <c r="C206" s="1" t="n">
        <v>45513</v>
      </c>
      <c r="D206" t="inlineStr">
        <is>
          <t>ÖREBRO LÄN</t>
        </is>
      </c>
      <c r="E206" t="inlineStr">
        <is>
          <t>ÖREBRO</t>
        </is>
      </c>
      <c r="G206" t="n">
        <v>5.3</v>
      </c>
      <c r="H206" t="n">
        <v>0</v>
      </c>
      <c r="I206" t="n">
        <v>0</v>
      </c>
      <c r="J206" t="n">
        <v>0</v>
      </c>
      <c r="K206" t="n">
        <v>0</v>
      </c>
      <c r="L206" t="n">
        <v>0</v>
      </c>
      <c r="M206" t="n">
        <v>0</v>
      </c>
      <c r="N206" t="n">
        <v>0</v>
      </c>
      <c r="O206" t="n">
        <v>0</v>
      </c>
      <c r="P206" t="n">
        <v>0</v>
      </c>
      <c r="Q206" t="n">
        <v>0</v>
      </c>
      <c r="R206" s="2" t="inlineStr"/>
    </row>
    <row r="207" ht="15" customHeight="1">
      <c r="A207" t="inlineStr">
        <is>
          <t>A 1581-2020</t>
        </is>
      </c>
      <c r="B207" s="1" t="n">
        <v>43844</v>
      </c>
      <c r="C207" s="1" t="n">
        <v>45513</v>
      </c>
      <c r="D207" t="inlineStr">
        <is>
          <t>ÖREBRO LÄN</t>
        </is>
      </c>
      <c r="E207" t="inlineStr">
        <is>
          <t>ÖREBRO</t>
        </is>
      </c>
      <c r="G207" t="n">
        <v>3.2</v>
      </c>
      <c r="H207" t="n">
        <v>0</v>
      </c>
      <c r="I207" t="n">
        <v>0</v>
      </c>
      <c r="J207" t="n">
        <v>0</v>
      </c>
      <c r="K207" t="n">
        <v>0</v>
      </c>
      <c r="L207" t="n">
        <v>0</v>
      </c>
      <c r="M207" t="n">
        <v>0</v>
      </c>
      <c r="N207" t="n">
        <v>0</v>
      </c>
      <c r="O207" t="n">
        <v>0</v>
      </c>
      <c r="P207" t="n">
        <v>0</v>
      </c>
      <c r="Q207" t="n">
        <v>0</v>
      </c>
      <c r="R207" s="2" t="inlineStr"/>
    </row>
    <row r="208" ht="15" customHeight="1">
      <c r="A208" t="inlineStr">
        <is>
          <t>A 1573-2020</t>
        </is>
      </c>
      <c r="B208" s="1" t="n">
        <v>43844</v>
      </c>
      <c r="C208" s="1" t="n">
        <v>45513</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1579-2020</t>
        </is>
      </c>
      <c r="B209" s="1" t="n">
        <v>43844</v>
      </c>
      <c r="C209" s="1" t="n">
        <v>45513</v>
      </c>
      <c r="D209" t="inlineStr">
        <is>
          <t>ÖREBRO LÄN</t>
        </is>
      </c>
      <c r="E209" t="inlineStr">
        <is>
          <t>ÖREBRO</t>
        </is>
      </c>
      <c r="G209" t="n">
        <v>0.4</v>
      </c>
      <c r="H209" t="n">
        <v>0</v>
      </c>
      <c r="I209" t="n">
        <v>0</v>
      </c>
      <c r="J209" t="n">
        <v>0</v>
      </c>
      <c r="K209" t="n">
        <v>0</v>
      </c>
      <c r="L209" t="n">
        <v>0</v>
      </c>
      <c r="M209" t="n">
        <v>0</v>
      </c>
      <c r="N209" t="n">
        <v>0</v>
      </c>
      <c r="O209" t="n">
        <v>0</v>
      </c>
      <c r="P209" t="n">
        <v>0</v>
      </c>
      <c r="Q209" t="n">
        <v>0</v>
      </c>
      <c r="R209" s="2" t="inlineStr"/>
    </row>
    <row r="210" ht="15" customHeight="1">
      <c r="A210" t="inlineStr">
        <is>
          <t>A 1575-2020</t>
        </is>
      </c>
      <c r="B210" s="1" t="n">
        <v>43844</v>
      </c>
      <c r="C210" s="1" t="n">
        <v>45513</v>
      </c>
      <c r="D210" t="inlineStr">
        <is>
          <t>ÖREBRO LÄN</t>
        </is>
      </c>
      <c r="E210" t="inlineStr">
        <is>
          <t>ÖREBRO</t>
        </is>
      </c>
      <c r="G210" t="n">
        <v>2.3</v>
      </c>
      <c r="H210" t="n">
        <v>0</v>
      </c>
      <c r="I210" t="n">
        <v>0</v>
      </c>
      <c r="J210" t="n">
        <v>0</v>
      </c>
      <c r="K210" t="n">
        <v>0</v>
      </c>
      <c r="L210" t="n">
        <v>0</v>
      </c>
      <c r="M210" t="n">
        <v>0</v>
      </c>
      <c r="N210" t="n">
        <v>0</v>
      </c>
      <c r="O210" t="n">
        <v>0</v>
      </c>
      <c r="P210" t="n">
        <v>0</v>
      </c>
      <c r="Q210" t="n">
        <v>0</v>
      </c>
      <c r="R210" s="2" t="inlineStr"/>
    </row>
    <row r="211" ht="15" customHeight="1">
      <c r="A211" t="inlineStr">
        <is>
          <t>A 3022-2020</t>
        </is>
      </c>
      <c r="B211" s="1" t="n">
        <v>43851</v>
      </c>
      <c r="C211" s="1" t="n">
        <v>45513</v>
      </c>
      <c r="D211" t="inlineStr">
        <is>
          <t>ÖREBRO LÄN</t>
        </is>
      </c>
      <c r="E211" t="inlineStr">
        <is>
          <t>ÖREBRO</t>
        </is>
      </c>
      <c r="G211" t="n">
        <v>3.4</v>
      </c>
      <c r="H211" t="n">
        <v>0</v>
      </c>
      <c r="I211" t="n">
        <v>0</v>
      </c>
      <c r="J211" t="n">
        <v>0</v>
      </c>
      <c r="K211" t="n">
        <v>0</v>
      </c>
      <c r="L211" t="n">
        <v>0</v>
      </c>
      <c r="M211" t="n">
        <v>0</v>
      </c>
      <c r="N211" t="n">
        <v>0</v>
      </c>
      <c r="O211" t="n">
        <v>0</v>
      </c>
      <c r="P211" t="n">
        <v>0</v>
      </c>
      <c r="Q211" t="n">
        <v>0</v>
      </c>
      <c r="R211" s="2" t="inlineStr"/>
    </row>
    <row r="212" ht="15" customHeight="1">
      <c r="A212" t="inlineStr">
        <is>
          <t>A 3630-2020</t>
        </is>
      </c>
      <c r="B212" s="1" t="n">
        <v>43853</v>
      </c>
      <c r="C212" s="1" t="n">
        <v>45513</v>
      </c>
      <c r="D212" t="inlineStr">
        <is>
          <t>ÖREBRO LÄN</t>
        </is>
      </c>
      <c r="E212" t="inlineStr">
        <is>
          <t>ÖREBRO</t>
        </is>
      </c>
      <c r="G212" t="n">
        <v>7.9</v>
      </c>
      <c r="H212" t="n">
        <v>0</v>
      </c>
      <c r="I212" t="n">
        <v>0</v>
      </c>
      <c r="J212" t="n">
        <v>0</v>
      </c>
      <c r="K212" t="n">
        <v>0</v>
      </c>
      <c r="L212" t="n">
        <v>0</v>
      </c>
      <c r="M212" t="n">
        <v>0</v>
      </c>
      <c r="N212" t="n">
        <v>0</v>
      </c>
      <c r="O212" t="n">
        <v>0</v>
      </c>
      <c r="P212" t="n">
        <v>0</v>
      </c>
      <c r="Q212" t="n">
        <v>0</v>
      </c>
      <c r="R212" s="2" t="inlineStr"/>
    </row>
    <row r="213" ht="15" customHeight="1">
      <c r="A213" t="inlineStr">
        <is>
          <t>A 3628-2020</t>
        </is>
      </c>
      <c r="B213" s="1" t="n">
        <v>43853</v>
      </c>
      <c r="C213" s="1" t="n">
        <v>45513</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4990-2020</t>
        </is>
      </c>
      <c r="B214" s="1" t="n">
        <v>43853</v>
      </c>
      <c r="C214" s="1" t="n">
        <v>45513</v>
      </c>
      <c r="D214" t="inlineStr">
        <is>
          <t>ÖREBRO LÄN</t>
        </is>
      </c>
      <c r="E214" t="inlineStr">
        <is>
          <t>ÖREBRO</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3956-2020</t>
        </is>
      </c>
      <c r="B215" s="1" t="n">
        <v>43854</v>
      </c>
      <c r="C215" s="1" t="n">
        <v>45513</v>
      </c>
      <c r="D215" t="inlineStr">
        <is>
          <t>ÖREBRO LÄN</t>
        </is>
      </c>
      <c r="E215" t="inlineStr">
        <is>
          <t>ÖREBRO</t>
        </is>
      </c>
      <c r="G215" t="n">
        <v>4.1</v>
      </c>
      <c r="H215" t="n">
        <v>0</v>
      </c>
      <c r="I215" t="n">
        <v>0</v>
      </c>
      <c r="J215" t="n">
        <v>0</v>
      </c>
      <c r="K215" t="n">
        <v>0</v>
      </c>
      <c r="L215" t="n">
        <v>0</v>
      </c>
      <c r="M215" t="n">
        <v>0</v>
      </c>
      <c r="N215" t="n">
        <v>0</v>
      </c>
      <c r="O215" t="n">
        <v>0</v>
      </c>
      <c r="P215" t="n">
        <v>0</v>
      </c>
      <c r="Q215" t="n">
        <v>0</v>
      </c>
      <c r="R215" s="2" t="inlineStr"/>
    </row>
    <row r="216" ht="15" customHeight="1">
      <c r="A216" t="inlineStr">
        <is>
          <t>A 4343-2020</t>
        </is>
      </c>
      <c r="B216" s="1" t="n">
        <v>43857</v>
      </c>
      <c r="C216" s="1" t="n">
        <v>45513</v>
      </c>
      <c r="D216" t="inlineStr">
        <is>
          <t>ÖREBRO LÄN</t>
        </is>
      </c>
      <c r="E216" t="inlineStr">
        <is>
          <t>ÖREBRO</t>
        </is>
      </c>
      <c r="F216" t="inlineStr">
        <is>
          <t>Övriga Aktiebolag</t>
        </is>
      </c>
      <c r="G216" t="n">
        <v>1.3</v>
      </c>
      <c r="H216" t="n">
        <v>0</v>
      </c>
      <c r="I216" t="n">
        <v>0</v>
      </c>
      <c r="J216" t="n">
        <v>0</v>
      </c>
      <c r="K216" t="n">
        <v>0</v>
      </c>
      <c r="L216" t="n">
        <v>0</v>
      </c>
      <c r="M216" t="n">
        <v>0</v>
      </c>
      <c r="N216" t="n">
        <v>0</v>
      </c>
      <c r="O216" t="n">
        <v>0</v>
      </c>
      <c r="P216" t="n">
        <v>0</v>
      </c>
      <c r="Q216" t="n">
        <v>0</v>
      </c>
      <c r="R216" s="2" t="inlineStr"/>
    </row>
    <row r="217" ht="15" customHeight="1">
      <c r="A217" t="inlineStr">
        <is>
          <t>A 4751-2020</t>
        </is>
      </c>
      <c r="B217" s="1" t="n">
        <v>43858</v>
      </c>
      <c r="C217" s="1" t="n">
        <v>45513</v>
      </c>
      <c r="D217" t="inlineStr">
        <is>
          <t>ÖREBRO LÄN</t>
        </is>
      </c>
      <c r="E217" t="inlineStr">
        <is>
          <t>ÖREBRO</t>
        </is>
      </c>
      <c r="F217" t="inlineStr">
        <is>
          <t>Kommuner</t>
        </is>
      </c>
      <c r="G217" t="n">
        <v>2.9</v>
      </c>
      <c r="H217" t="n">
        <v>0</v>
      </c>
      <c r="I217" t="n">
        <v>0</v>
      </c>
      <c r="J217" t="n">
        <v>0</v>
      </c>
      <c r="K217" t="n">
        <v>0</v>
      </c>
      <c r="L217" t="n">
        <v>0</v>
      </c>
      <c r="M217" t="n">
        <v>0</v>
      </c>
      <c r="N217" t="n">
        <v>0</v>
      </c>
      <c r="O217" t="n">
        <v>0</v>
      </c>
      <c r="P217" t="n">
        <v>0</v>
      </c>
      <c r="Q217" t="n">
        <v>0</v>
      </c>
      <c r="R217" s="2" t="inlineStr"/>
      <c r="U217">
        <f>HYPERLINK("https://klasma.github.io/Logging_1880/knärot/A 4751-2020 karta knärot.png", "A 4751-2020")</f>
        <v/>
      </c>
      <c r="V217">
        <f>HYPERLINK("https://klasma.github.io/Logging_1880/klagomål/A 4751-2020 FSC-klagomål.docx", "A 4751-2020")</f>
        <v/>
      </c>
      <c r="W217">
        <f>HYPERLINK("https://klasma.github.io/Logging_1880/klagomålsmail/A 4751-2020 FSC-klagomål mail.docx", "A 4751-2020")</f>
        <v/>
      </c>
      <c r="X217">
        <f>HYPERLINK("https://klasma.github.io/Logging_1880/tillsyn/A 4751-2020 tillsynsbegäran.docx", "A 4751-2020")</f>
        <v/>
      </c>
      <c r="Y217">
        <f>HYPERLINK("https://klasma.github.io/Logging_1880/tillsynsmail/A 4751-2020 tillsynsbegäran mail.docx", "A 4751-2020")</f>
        <v/>
      </c>
    </row>
    <row r="218" ht="15" customHeight="1">
      <c r="A218" t="inlineStr">
        <is>
          <t>A 5076-2020</t>
        </is>
      </c>
      <c r="B218" s="1" t="n">
        <v>43859</v>
      </c>
      <c r="C218" s="1" t="n">
        <v>45513</v>
      </c>
      <c r="D218" t="inlineStr">
        <is>
          <t>ÖREBRO LÄN</t>
        </is>
      </c>
      <c r="E218" t="inlineStr">
        <is>
          <t>ÖREBRO</t>
        </is>
      </c>
      <c r="G218" t="n">
        <v>0.8</v>
      </c>
      <c r="H218" t="n">
        <v>0</v>
      </c>
      <c r="I218" t="n">
        <v>0</v>
      </c>
      <c r="J218" t="n">
        <v>0</v>
      </c>
      <c r="K218" t="n">
        <v>0</v>
      </c>
      <c r="L218" t="n">
        <v>0</v>
      </c>
      <c r="M218" t="n">
        <v>0</v>
      </c>
      <c r="N218" t="n">
        <v>0</v>
      </c>
      <c r="O218" t="n">
        <v>0</v>
      </c>
      <c r="P218" t="n">
        <v>0</v>
      </c>
      <c r="Q218" t="n">
        <v>0</v>
      </c>
      <c r="R218" s="2" t="inlineStr"/>
    </row>
    <row r="219" ht="15" customHeight="1">
      <c r="A219" t="inlineStr">
        <is>
          <t>A 6166-2020</t>
        </is>
      </c>
      <c r="B219" s="1" t="n">
        <v>43864</v>
      </c>
      <c r="C219" s="1" t="n">
        <v>45513</v>
      </c>
      <c r="D219" t="inlineStr">
        <is>
          <t>ÖREBRO LÄN</t>
        </is>
      </c>
      <c r="E219" t="inlineStr">
        <is>
          <t>ÖREBRO</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6247-2020</t>
        </is>
      </c>
      <c r="B220" s="1" t="n">
        <v>43864</v>
      </c>
      <c r="C220" s="1" t="n">
        <v>45513</v>
      </c>
      <c r="D220" t="inlineStr">
        <is>
          <t>ÖREBRO LÄN</t>
        </is>
      </c>
      <c r="E220" t="inlineStr">
        <is>
          <t>ÖREBRO</t>
        </is>
      </c>
      <c r="G220" t="n">
        <v>4.2</v>
      </c>
      <c r="H220" t="n">
        <v>0</v>
      </c>
      <c r="I220" t="n">
        <v>0</v>
      </c>
      <c r="J220" t="n">
        <v>0</v>
      </c>
      <c r="K220" t="n">
        <v>0</v>
      </c>
      <c r="L220" t="n">
        <v>0</v>
      </c>
      <c r="M220" t="n">
        <v>0</v>
      </c>
      <c r="N220" t="n">
        <v>0</v>
      </c>
      <c r="O220" t="n">
        <v>0</v>
      </c>
      <c r="P220" t="n">
        <v>0</v>
      </c>
      <c r="Q220" t="n">
        <v>0</v>
      </c>
      <c r="R220" s="2" t="inlineStr"/>
    </row>
    <row r="221" ht="15" customHeight="1">
      <c r="A221" t="inlineStr">
        <is>
          <t>A 6456-2020</t>
        </is>
      </c>
      <c r="B221" s="1" t="n">
        <v>43866</v>
      </c>
      <c r="C221" s="1" t="n">
        <v>45513</v>
      </c>
      <c r="D221" t="inlineStr">
        <is>
          <t>ÖREBRO LÄN</t>
        </is>
      </c>
      <c r="E221" t="inlineStr">
        <is>
          <t>ÖREBRO</t>
        </is>
      </c>
      <c r="F221" t="inlineStr">
        <is>
          <t>Övriga Aktiebolag</t>
        </is>
      </c>
      <c r="G221" t="n">
        <v>5.4</v>
      </c>
      <c r="H221" t="n">
        <v>0</v>
      </c>
      <c r="I221" t="n">
        <v>0</v>
      </c>
      <c r="J221" t="n">
        <v>0</v>
      </c>
      <c r="K221" t="n">
        <v>0</v>
      </c>
      <c r="L221" t="n">
        <v>0</v>
      </c>
      <c r="M221" t="n">
        <v>0</v>
      </c>
      <c r="N221" t="n">
        <v>0</v>
      </c>
      <c r="O221" t="n">
        <v>0</v>
      </c>
      <c r="P221" t="n">
        <v>0</v>
      </c>
      <c r="Q221" t="n">
        <v>0</v>
      </c>
      <c r="R221" s="2" t="inlineStr"/>
    </row>
    <row r="222" ht="15" customHeight="1">
      <c r="A222" t="inlineStr">
        <is>
          <t>A 6633-2020</t>
        </is>
      </c>
      <c r="B222" s="1" t="n">
        <v>43867</v>
      </c>
      <c r="C222" s="1" t="n">
        <v>45513</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6792-2020</t>
        </is>
      </c>
      <c r="B223" s="1" t="n">
        <v>43867</v>
      </c>
      <c r="C223" s="1" t="n">
        <v>45513</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6924-2020</t>
        </is>
      </c>
      <c r="B224" s="1" t="n">
        <v>43868</v>
      </c>
      <c r="C224" s="1" t="n">
        <v>45513</v>
      </c>
      <c r="D224" t="inlineStr">
        <is>
          <t>ÖREBRO LÄN</t>
        </is>
      </c>
      <c r="E224" t="inlineStr">
        <is>
          <t>ÖREBRO</t>
        </is>
      </c>
      <c r="G224" t="n">
        <v>3.1</v>
      </c>
      <c r="H224" t="n">
        <v>0</v>
      </c>
      <c r="I224" t="n">
        <v>0</v>
      </c>
      <c r="J224" t="n">
        <v>0</v>
      </c>
      <c r="K224" t="n">
        <v>0</v>
      </c>
      <c r="L224" t="n">
        <v>0</v>
      </c>
      <c r="M224" t="n">
        <v>0</v>
      </c>
      <c r="N224" t="n">
        <v>0</v>
      </c>
      <c r="O224" t="n">
        <v>0</v>
      </c>
      <c r="P224" t="n">
        <v>0</v>
      </c>
      <c r="Q224" t="n">
        <v>0</v>
      </c>
      <c r="R224" s="2" t="inlineStr"/>
    </row>
    <row r="225" ht="15" customHeight="1">
      <c r="A225" t="inlineStr">
        <is>
          <t>A 6949-2020</t>
        </is>
      </c>
      <c r="B225" s="1" t="n">
        <v>43868</v>
      </c>
      <c r="C225" s="1" t="n">
        <v>45513</v>
      </c>
      <c r="D225" t="inlineStr">
        <is>
          <t>ÖREBRO LÄN</t>
        </is>
      </c>
      <c r="E225" t="inlineStr">
        <is>
          <t>ÖREBRO</t>
        </is>
      </c>
      <c r="G225" t="n">
        <v>3.4</v>
      </c>
      <c r="H225" t="n">
        <v>0</v>
      </c>
      <c r="I225" t="n">
        <v>0</v>
      </c>
      <c r="J225" t="n">
        <v>0</v>
      </c>
      <c r="K225" t="n">
        <v>0</v>
      </c>
      <c r="L225" t="n">
        <v>0</v>
      </c>
      <c r="M225" t="n">
        <v>0</v>
      </c>
      <c r="N225" t="n">
        <v>0</v>
      </c>
      <c r="O225" t="n">
        <v>0</v>
      </c>
      <c r="P225" t="n">
        <v>0</v>
      </c>
      <c r="Q225" t="n">
        <v>0</v>
      </c>
      <c r="R225" s="2" t="inlineStr"/>
    </row>
    <row r="226" ht="15" customHeight="1">
      <c r="A226" t="inlineStr">
        <is>
          <t>A 7583-2020</t>
        </is>
      </c>
      <c r="B226" s="1" t="n">
        <v>43872</v>
      </c>
      <c r="C226" s="1" t="n">
        <v>45513</v>
      </c>
      <c r="D226" t="inlineStr">
        <is>
          <t>ÖREBRO LÄN</t>
        </is>
      </c>
      <c r="E226" t="inlineStr">
        <is>
          <t>ÖREBRO</t>
        </is>
      </c>
      <c r="F226" t="inlineStr">
        <is>
          <t>Övriga Aktiebolag</t>
        </is>
      </c>
      <c r="G226" t="n">
        <v>4.4</v>
      </c>
      <c r="H226" t="n">
        <v>0</v>
      </c>
      <c r="I226" t="n">
        <v>0</v>
      </c>
      <c r="J226" t="n">
        <v>0</v>
      </c>
      <c r="K226" t="n">
        <v>0</v>
      </c>
      <c r="L226" t="n">
        <v>0</v>
      </c>
      <c r="M226" t="n">
        <v>0</v>
      </c>
      <c r="N226" t="n">
        <v>0</v>
      </c>
      <c r="O226" t="n">
        <v>0</v>
      </c>
      <c r="P226" t="n">
        <v>0</v>
      </c>
      <c r="Q226" t="n">
        <v>0</v>
      </c>
      <c r="R226" s="2" t="inlineStr"/>
    </row>
    <row r="227" ht="15" customHeight="1">
      <c r="A227" t="inlineStr">
        <is>
          <t>A 8563-2020</t>
        </is>
      </c>
      <c r="B227" s="1" t="n">
        <v>43877</v>
      </c>
      <c r="C227" s="1" t="n">
        <v>45513</v>
      </c>
      <c r="D227" t="inlineStr">
        <is>
          <t>ÖREBRO LÄN</t>
        </is>
      </c>
      <c r="E227" t="inlineStr">
        <is>
          <t>ÖREBRO</t>
        </is>
      </c>
      <c r="G227" t="n">
        <v>11.9</v>
      </c>
      <c r="H227" t="n">
        <v>0</v>
      </c>
      <c r="I227" t="n">
        <v>0</v>
      </c>
      <c r="J227" t="n">
        <v>0</v>
      </c>
      <c r="K227" t="n">
        <v>0</v>
      </c>
      <c r="L227" t="n">
        <v>0</v>
      </c>
      <c r="M227" t="n">
        <v>0</v>
      </c>
      <c r="N227" t="n">
        <v>0</v>
      </c>
      <c r="O227" t="n">
        <v>0</v>
      </c>
      <c r="P227" t="n">
        <v>0</v>
      </c>
      <c r="Q227" t="n">
        <v>0</v>
      </c>
      <c r="R227" s="2" t="inlineStr"/>
    </row>
    <row r="228" ht="15" customHeight="1">
      <c r="A228" t="inlineStr">
        <is>
          <t>A 8801-2020</t>
        </is>
      </c>
      <c r="B228" s="1" t="n">
        <v>43878</v>
      </c>
      <c r="C228" s="1" t="n">
        <v>45513</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8893-2020</t>
        </is>
      </c>
      <c r="B229" s="1" t="n">
        <v>43878</v>
      </c>
      <c r="C229" s="1" t="n">
        <v>45513</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9572-2020</t>
        </is>
      </c>
      <c r="B230" s="1" t="n">
        <v>43881</v>
      </c>
      <c r="C230" s="1" t="n">
        <v>45513</v>
      </c>
      <c r="D230" t="inlineStr">
        <is>
          <t>ÖREBRO LÄN</t>
        </is>
      </c>
      <c r="E230" t="inlineStr">
        <is>
          <t>ÖREBRO</t>
        </is>
      </c>
      <c r="G230" t="n">
        <v>3.8</v>
      </c>
      <c r="H230" t="n">
        <v>0</v>
      </c>
      <c r="I230" t="n">
        <v>0</v>
      </c>
      <c r="J230" t="n">
        <v>0</v>
      </c>
      <c r="K230" t="n">
        <v>0</v>
      </c>
      <c r="L230" t="n">
        <v>0</v>
      </c>
      <c r="M230" t="n">
        <v>0</v>
      </c>
      <c r="N230" t="n">
        <v>0</v>
      </c>
      <c r="O230" t="n">
        <v>0</v>
      </c>
      <c r="P230" t="n">
        <v>0</v>
      </c>
      <c r="Q230" t="n">
        <v>0</v>
      </c>
      <c r="R230" s="2" t="inlineStr"/>
    </row>
    <row r="231" ht="15" customHeight="1">
      <c r="A231" t="inlineStr">
        <is>
          <t>A 9561-2020</t>
        </is>
      </c>
      <c r="B231" s="1" t="n">
        <v>43881</v>
      </c>
      <c r="C231" s="1" t="n">
        <v>45513</v>
      </c>
      <c r="D231" t="inlineStr">
        <is>
          <t>ÖREBRO LÄN</t>
        </is>
      </c>
      <c r="E231" t="inlineStr">
        <is>
          <t>ÖREBRO</t>
        </is>
      </c>
      <c r="G231" t="n">
        <v>8.6</v>
      </c>
      <c r="H231" t="n">
        <v>0</v>
      </c>
      <c r="I231" t="n">
        <v>0</v>
      </c>
      <c r="J231" t="n">
        <v>0</v>
      </c>
      <c r="K231" t="n">
        <v>0</v>
      </c>
      <c r="L231" t="n">
        <v>0</v>
      </c>
      <c r="M231" t="n">
        <v>0</v>
      </c>
      <c r="N231" t="n">
        <v>0</v>
      </c>
      <c r="O231" t="n">
        <v>0</v>
      </c>
      <c r="P231" t="n">
        <v>0</v>
      </c>
      <c r="Q231" t="n">
        <v>0</v>
      </c>
      <c r="R231" s="2" t="inlineStr"/>
    </row>
    <row r="232" ht="15" customHeight="1">
      <c r="A232" t="inlineStr">
        <is>
          <t>A 9655-2020</t>
        </is>
      </c>
      <c r="B232" s="1" t="n">
        <v>43881</v>
      </c>
      <c r="C232" s="1" t="n">
        <v>45513</v>
      </c>
      <c r="D232" t="inlineStr">
        <is>
          <t>ÖREBRO LÄN</t>
        </is>
      </c>
      <c r="E232" t="inlineStr">
        <is>
          <t>ÖREBRO</t>
        </is>
      </c>
      <c r="F232" t="inlineStr">
        <is>
          <t>Övriga Aktiebolag</t>
        </is>
      </c>
      <c r="G232" t="n">
        <v>0.8</v>
      </c>
      <c r="H232" t="n">
        <v>0</v>
      </c>
      <c r="I232" t="n">
        <v>0</v>
      </c>
      <c r="J232" t="n">
        <v>0</v>
      </c>
      <c r="K232" t="n">
        <v>0</v>
      </c>
      <c r="L232" t="n">
        <v>0</v>
      </c>
      <c r="M232" t="n">
        <v>0</v>
      </c>
      <c r="N232" t="n">
        <v>0</v>
      </c>
      <c r="O232" t="n">
        <v>0</v>
      </c>
      <c r="P232" t="n">
        <v>0</v>
      </c>
      <c r="Q232" t="n">
        <v>0</v>
      </c>
      <c r="R232" s="2" t="inlineStr"/>
    </row>
    <row r="233" ht="15" customHeight="1">
      <c r="A233" t="inlineStr">
        <is>
          <t>A 9893-2020</t>
        </is>
      </c>
      <c r="B233" s="1" t="n">
        <v>43881</v>
      </c>
      <c r="C233" s="1" t="n">
        <v>45513</v>
      </c>
      <c r="D233" t="inlineStr">
        <is>
          <t>ÖREBRO LÄN</t>
        </is>
      </c>
      <c r="E233" t="inlineStr">
        <is>
          <t>ÖREBRO</t>
        </is>
      </c>
      <c r="G233" t="n">
        <v>1.6</v>
      </c>
      <c r="H233" t="n">
        <v>0</v>
      </c>
      <c r="I233" t="n">
        <v>0</v>
      </c>
      <c r="J233" t="n">
        <v>0</v>
      </c>
      <c r="K233" t="n">
        <v>0</v>
      </c>
      <c r="L233" t="n">
        <v>0</v>
      </c>
      <c r="M233" t="n">
        <v>0</v>
      </c>
      <c r="N233" t="n">
        <v>0</v>
      </c>
      <c r="O233" t="n">
        <v>0</v>
      </c>
      <c r="P233" t="n">
        <v>0</v>
      </c>
      <c r="Q233" t="n">
        <v>0</v>
      </c>
      <c r="R233" s="2" t="inlineStr"/>
    </row>
    <row r="234" ht="15" customHeight="1">
      <c r="A234" t="inlineStr">
        <is>
          <t>A 11956-2020</t>
        </is>
      </c>
      <c r="B234" s="1" t="n">
        <v>43894</v>
      </c>
      <c r="C234" s="1" t="n">
        <v>45513</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11957-2020</t>
        </is>
      </c>
      <c r="B235" s="1" t="n">
        <v>43894</v>
      </c>
      <c r="C235" s="1" t="n">
        <v>45513</v>
      </c>
      <c r="D235" t="inlineStr">
        <is>
          <t>ÖREBRO LÄN</t>
        </is>
      </c>
      <c r="E235" t="inlineStr">
        <is>
          <t>ÖREBRO</t>
        </is>
      </c>
      <c r="G235" t="n">
        <v>3.6</v>
      </c>
      <c r="H235" t="n">
        <v>0</v>
      </c>
      <c r="I235" t="n">
        <v>0</v>
      </c>
      <c r="J235" t="n">
        <v>0</v>
      </c>
      <c r="K235" t="n">
        <v>0</v>
      </c>
      <c r="L235" t="n">
        <v>0</v>
      </c>
      <c r="M235" t="n">
        <v>0</v>
      </c>
      <c r="N235" t="n">
        <v>0</v>
      </c>
      <c r="O235" t="n">
        <v>0</v>
      </c>
      <c r="P235" t="n">
        <v>0</v>
      </c>
      <c r="Q235" t="n">
        <v>0</v>
      </c>
      <c r="R235" s="2" t="inlineStr"/>
    </row>
    <row r="236" ht="15" customHeight="1">
      <c r="A236" t="inlineStr">
        <is>
          <t>A 12335-2020</t>
        </is>
      </c>
      <c r="B236" s="1" t="n">
        <v>43895</v>
      </c>
      <c r="C236" s="1" t="n">
        <v>45513</v>
      </c>
      <c r="D236" t="inlineStr">
        <is>
          <t>ÖREBRO LÄN</t>
        </is>
      </c>
      <c r="E236" t="inlineStr">
        <is>
          <t>ÖREBRO</t>
        </is>
      </c>
      <c r="G236" t="n">
        <v>6.9</v>
      </c>
      <c r="H236" t="n">
        <v>0</v>
      </c>
      <c r="I236" t="n">
        <v>0</v>
      </c>
      <c r="J236" t="n">
        <v>0</v>
      </c>
      <c r="K236" t="n">
        <v>0</v>
      </c>
      <c r="L236" t="n">
        <v>0</v>
      </c>
      <c r="M236" t="n">
        <v>0</v>
      </c>
      <c r="N236" t="n">
        <v>0</v>
      </c>
      <c r="O236" t="n">
        <v>0</v>
      </c>
      <c r="P236" t="n">
        <v>0</v>
      </c>
      <c r="Q236" t="n">
        <v>0</v>
      </c>
      <c r="R236" s="2" t="inlineStr"/>
    </row>
    <row r="237" ht="15" customHeight="1">
      <c r="A237" t="inlineStr">
        <is>
          <t>A 12548-2020</t>
        </is>
      </c>
      <c r="B237" s="1" t="n">
        <v>43897</v>
      </c>
      <c r="C237" s="1" t="n">
        <v>45513</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12546-2020</t>
        </is>
      </c>
      <c r="B238" s="1" t="n">
        <v>43897</v>
      </c>
      <c r="C238" s="1" t="n">
        <v>45513</v>
      </c>
      <c r="D238" t="inlineStr">
        <is>
          <t>ÖREBRO LÄN</t>
        </is>
      </c>
      <c r="E238" t="inlineStr">
        <is>
          <t>ÖREBRO</t>
        </is>
      </c>
      <c r="G238" t="n">
        <v>5.9</v>
      </c>
      <c r="H238" t="n">
        <v>0</v>
      </c>
      <c r="I238" t="n">
        <v>0</v>
      </c>
      <c r="J238" t="n">
        <v>0</v>
      </c>
      <c r="K238" t="n">
        <v>0</v>
      </c>
      <c r="L238" t="n">
        <v>0</v>
      </c>
      <c r="M238" t="n">
        <v>0</v>
      </c>
      <c r="N238" t="n">
        <v>0</v>
      </c>
      <c r="O238" t="n">
        <v>0</v>
      </c>
      <c r="P238" t="n">
        <v>0</v>
      </c>
      <c r="Q238" t="n">
        <v>0</v>
      </c>
      <c r="R238" s="2" t="inlineStr"/>
    </row>
    <row r="239" ht="15" customHeight="1">
      <c r="A239" t="inlineStr">
        <is>
          <t>A 13273-2020</t>
        </is>
      </c>
      <c r="B239" s="1" t="n">
        <v>43901</v>
      </c>
      <c r="C239" s="1" t="n">
        <v>45513</v>
      </c>
      <c r="D239" t="inlineStr">
        <is>
          <t>ÖREBRO LÄN</t>
        </is>
      </c>
      <c r="E239" t="inlineStr">
        <is>
          <t>ÖREBRO</t>
        </is>
      </c>
      <c r="G239" t="n">
        <v>2.6</v>
      </c>
      <c r="H239" t="n">
        <v>0</v>
      </c>
      <c r="I239" t="n">
        <v>0</v>
      </c>
      <c r="J239" t="n">
        <v>0</v>
      </c>
      <c r="K239" t="n">
        <v>0</v>
      </c>
      <c r="L239" t="n">
        <v>0</v>
      </c>
      <c r="M239" t="n">
        <v>0</v>
      </c>
      <c r="N239" t="n">
        <v>0</v>
      </c>
      <c r="O239" t="n">
        <v>0</v>
      </c>
      <c r="P239" t="n">
        <v>0</v>
      </c>
      <c r="Q239" t="n">
        <v>0</v>
      </c>
      <c r="R239" s="2" t="inlineStr"/>
    </row>
    <row r="240" ht="15" customHeight="1">
      <c r="A240" t="inlineStr">
        <is>
          <t>A 13328-2020</t>
        </is>
      </c>
      <c r="B240" s="1" t="n">
        <v>43902</v>
      </c>
      <c r="C240" s="1" t="n">
        <v>45513</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13830-2020</t>
        </is>
      </c>
      <c r="B241" s="1" t="n">
        <v>43905</v>
      </c>
      <c r="C241" s="1" t="n">
        <v>45513</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14209-2020</t>
        </is>
      </c>
      <c r="B242" s="1" t="n">
        <v>43907</v>
      </c>
      <c r="C242" s="1" t="n">
        <v>45513</v>
      </c>
      <c r="D242" t="inlineStr">
        <is>
          <t>ÖREBRO LÄN</t>
        </is>
      </c>
      <c r="E242" t="inlineStr">
        <is>
          <t>ÖREBRO</t>
        </is>
      </c>
      <c r="G242" t="n">
        <v>7.4</v>
      </c>
      <c r="H242" t="n">
        <v>0</v>
      </c>
      <c r="I242" t="n">
        <v>0</v>
      </c>
      <c r="J242" t="n">
        <v>0</v>
      </c>
      <c r="K242" t="n">
        <v>0</v>
      </c>
      <c r="L242" t="n">
        <v>0</v>
      </c>
      <c r="M242" t="n">
        <v>0</v>
      </c>
      <c r="N242" t="n">
        <v>0</v>
      </c>
      <c r="O242" t="n">
        <v>0</v>
      </c>
      <c r="P242" t="n">
        <v>0</v>
      </c>
      <c r="Q242" t="n">
        <v>0</v>
      </c>
      <c r="R242" s="2" t="inlineStr"/>
    </row>
    <row r="243" ht="15" customHeight="1">
      <c r="A243" t="inlineStr">
        <is>
          <t>A 16152-2020</t>
        </is>
      </c>
      <c r="B243" s="1" t="n">
        <v>43916</v>
      </c>
      <c r="C243" s="1" t="n">
        <v>45513</v>
      </c>
      <c r="D243" t="inlineStr">
        <is>
          <t>ÖREBRO LÄN</t>
        </is>
      </c>
      <c r="E243" t="inlineStr">
        <is>
          <t>ÖREBRO</t>
        </is>
      </c>
      <c r="G243" t="n">
        <v>1</v>
      </c>
      <c r="H243" t="n">
        <v>0</v>
      </c>
      <c r="I243" t="n">
        <v>0</v>
      </c>
      <c r="J243" t="n">
        <v>0</v>
      </c>
      <c r="K243" t="n">
        <v>0</v>
      </c>
      <c r="L243" t="n">
        <v>0</v>
      </c>
      <c r="M243" t="n">
        <v>0</v>
      </c>
      <c r="N243" t="n">
        <v>0</v>
      </c>
      <c r="O243" t="n">
        <v>0</v>
      </c>
      <c r="P243" t="n">
        <v>0</v>
      </c>
      <c r="Q243" t="n">
        <v>0</v>
      </c>
      <c r="R243" s="2" t="inlineStr"/>
    </row>
    <row r="244" ht="15" customHeight="1">
      <c r="A244" t="inlineStr">
        <is>
          <t>A 16258-2020</t>
        </is>
      </c>
      <c r="B244" s="1" t="n">
        <v>43917</v>
      </c>
      <c r="C244" s="1" t="n">
        <v>45513</v>
      </c>
      <c r="D244" t="inlineStr">
        <is>
          <t>ÖREBRO LÄN</t>
        </is>
      </c>
      <c r="E244" t="inlineStr">
        <is>
          <t>ÖREBRO</t>
        </is>
      </c>
      <c r="F244" t="inlineStr">
        <is>
          <t>Övriga Aktiebolag</t>
        </is>
      </c>
      <c r="G244" t="n">
        <v>1.7</v>
      </c>
      <c r="H244" t="n">
        <v>0</v>
      </c>
      <c r="I244" t="n">
        <v>0</v>
      </c>
      <c r="J244" t="n">
        <v>0</v>
      </c>
      <c r="K244" t="n">
        <v>0</v>
      </c>
      <c r="L244" t="n">
        <v>0</v>
      </c>
      <c r="M244" t="n">
        <v>0</v>
      </c>
      <c r="N244" t="n">
        <v>0</v>
      </c>
      <c r="O244" t="n">
        <v>0</v>
      </c>
      <c r="P244" t="n">
        <v>0</v>
      </c>
      <c r="Q244" t="n">
        <v>0</v>
      </c>
      <c r="R244" s="2" t="inlineStr"/>
    </row>
    <row r="245" ht="15" customHeight="1">
      <c r="A245" t="inlineStr">
        <is>
          <t>A 16682-2020</t>
        </is>
      </c>
      <c r="B245" s="1" t="n">
        <v>43920</v>
      </c>
      <c r="C245" s="1" t="n">
        <v>45513</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18136-2020</t>
        </is>
      </c>
      <c r="B246" s="1" t="n">
        <v>43927</v>
      </c>
      <c r="C246" s="1" t="n">
        <v>45513</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18365-2020</t>
        </is>
      </c>
      <c r="B247" s="1" t="n">
        <v>43928</v>
      </c>
      <c r="C247" s="1" t="n">
        <v>45513</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19465-2020</t>
        </is>
      </c>
      <c r="B248" s="1" t="n">
        <v>43938</v>
      </c>
      <c r="C248" s="1" t="n">
        <v>45513</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20302-2020</t>
        </is>
      </c>
      <c r="B249" s="1" t="n">
        <v>43938</v>
      </c>
      <c r="C249" s="1" t="n">
        <v>45513</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21053-2020</t>
        </is>
      </c>
      <c r="B250" s="1" t="n">
        <v>43951</v>
      </c>
      <c r="C250" s="1" t="n">
        <v>45513</v>
      </c>
      <c r="D250" t="inlineStr">
        <is>
          <t>ÖREBRO LÄN</t>
        </is>
      </c>
      <c r="E250" t="inlineStr">
        <is>
          <t>ÖREBRO</t>
        </is>
      </c>
      <c r="G250" t="n">
        <v>2.3</v>
      </c>
      <c r="H250" t="n">
        <v>0</v>
      </c>
      <c r="I250" t="n">
        <v>0</v>
      </c>
      <c r="J250" t="n">
        <v>0</v>
      </c>
      <c r="K250" t="n">
        <v>0</v>
      </c>
      <c r="L250" t="n">
        <v>0</v>
      </c>
      <c r="M250" t="n">
        <v>0</v>
      </c>
      <c r="N250" t="n">
        <v>0</v>
      </c>
      <c r="O250" t="n">
        <v>0</v>
      </c>
      <c r="P250" t="n">
        <v>0</v>
      </c>
      <c r="Q250" t="n">
        <v>0</v>
      </c>
      <c r="R250" s="2" t="inlineStr"/>
    </row>
    <row r="251" ht="15" customHeight="1">
      <c r="A251" t="inlineStr">
        <is>
          <t>A 22141-2020</t>
        </is>
      </c>
      <c r="B251" s="1" t="n">
        <v>43961</v>
      </c>
      <c r="C251" s="1" t="n">
        <v>45513</v>
      </c>
      <c r="D251" t="inlineStr">
        <is>
          <t>ÖREBRO LÄN</t>
        </is>
      </c>
      <c r="E251" t="inlineStr">
        <is>
          <t>ÖREBRO</t>
        </is>
      </c>
      <c r="G251" t="n">
        <v>2.9</v>
      </c>
      <c r="H251" t="n">
        <v>0</v>
      </c>
      <c r="I251" t="n">
        <v>0</v>
      </c>
      <c r="J251" t="n">
        <v>0</v>
      </c>
      <c r="K251" t="n">
        <v>0</v>
      </c>
      <c r="L251" t="n">
        <v>0</v>
      </c>
      <c r="M251" t="n">
        <v>0</v>
      </c>
      <c r="N251" t="n">
        <v>0</v>
      </c>
      <c r="O251" t="n">
        <v>0</v>
      </c>
      <c r="P251" t="n">
        <v>0</v>
      </c>
      <c r="Q251" t="n">
        <v>0</v>
      </c>
      <c r="R251" s="2" t="inlineStr"/>
    </row>
    <row r="252" ht="15" customHeight="1">
      <c r="A252" t="inlineStr">
        <is>
          <t>A 23849-2020</t>
        </is>
      </c>
      <c r="B252" s="1" t="n">
        <v>43971</v>
      </c>
      <c r="C252" s="1" t="n">
        <v>45513</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25437-2020</t>
        </is>
      </c>
      <c r="B253" s="1" t="n">
        <v>43983</v>
      </c>
      <c r="C253" s="1" t="n">
        <v>45513</v>
      </c>
      <c r="D253" t="inlineStr">
        <is>
          <t>ÖREBRO LÄN</t>
        </is>
      </c>
      <c r="E253" t="inlineStr">
        <is>
          <t>ÖREBRO</t>
        </is>
      </c>
      <c r="G253" t="n">
        <v>7.5</v>
      </c>
      <c r="H253" t="n">
        <v>0</v>
      </c>
      <c r="I253" t="n">
        <v>0</v>
      </c>
      <c r="J253" t="n">
        <v>0</v>
      </c>
      <c r="K253" t="n">
        <v>0</v>
      </c>
      <c r="L253" t="n">
        <v>0</v>
      </c>
      <c r="M253" t="n">
        <v>0</v>
      </c>
      <c r="N253" t="n">
        <v>0</v>
      </c>
      <c r="O253" t="n">
        <v>0</v>
      </c>
      <c r="P253" t="n">
        <v>0</v>
      </c>
      <c r="Q253" t="n">
        <v>0</v>
      </c>
      <c r="R253" s="2" t="inlineStr"/>
    </row>
    <row r="254" ht="15" customHeight="1">
      <c r="A254" t="inlineStr">
        <is>
          <t>A 25631-2020</t>
        </is>
      </c>
      <c r="B254" s="1" t="n">
        <v>43983</v>
      </c>
      <c r="C254" s="1" t="n">
        <v>45513</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26810-2020</t>
        </is>
      </c>
      <c r="B255" s="1" t="n">
        <v>43987</v>
      </c>
      <c r="C255" s="1" t="n">
        <v>45513</v>
      </c>
      <c r="D255" t="inlineStr">
        <is>
          <t>ÖREBRO LÄN</t>
        </is>
      </c>
      <c r="E255" t="inlineStr">
        <is>
          <t>ÖREBRO</t>
        </is>
      </c>
      <c r="G255" t="n">
        <v>1.6</v>
      </c>
      <c r="H255" t="n">
        <v>0</v>
      </c>
      <c r="I255" t="n">
        <v>0</v>
      </c>
      <c r="J255" t="n">
        <v>0</v>
      </c>
      <c r="K255" t="n">
        <v>0</v>
      </c>
      <c r="L255" t="n">
        <v>0</v>
      </c>
      <c r="M255" t="n">
        <v>0</v>
      </c>
      <c r="N255" t="n">
        <v>0</v>
      </c>
      <c r="O255" t="n">
        <v>0</v>
      </c>
      <c r="P255" t="n">
        <v>0</v>
      </c>
      <c r="Q255" t="n">
        <v>0</v>
      </c>
      <c r="R255" s="2" t="inlineStr"/>
    </row>
    <row r="256" ht="15" customHeight="1">
      <c r="A256" t="inlineStr">
        <is>
          <t>A 26862-2020</t>
        </is>
      </c>
      <c r="B256" s="1" t="n">
        <v>43990</v>
      </c>
      <c r="C256" s="1" t="n">
        <v>45513</v>
      </c>
      <c r="D256" t="inlineStr">
        <is>
          <t>ÖREBRO LÄN</t>
        </is>
      </c>
      <c r="E256" t="inlineStr">
        <is>
          <t>ÖREBRO</t>
        </is>
      </c>
      <c r="G256" t="n">
        <v>0.3</v>
      </c>
      <c r="H256" t="n">
        <v>0</v>
      </c>
      <c r="I256" t="n">
        <v>0</v>
      </c>
      <c r="J256" t="n">
        <v>0</v>
      </c>
      <c r="K256" t="n">
        <v>0</v>
      </c>
      <c r="L256" t="n">
        <v>0</v>
      </c>
      <c r="M256" t="n">
        <v>0</v>
      </c>
      <c r="N256" t="n">
        <v>0</v>
      </c>
      <c r="O256" t="n">
        <v>0</v>
      </c>
      <c r="P256" t="n">
        <v>0</v>
      </c>
      <c r="Q256" t="n">
        <v>0</v>
      </c>
      <c r="R256" s="2" t="inlineStr"/>
    </row>
    <row r="257" ht="15" customHeight="1">
      <c r="A257" t="inlineStr">
        <is>
          <t>A 27734-2020</t>
        </is>
      </c>
      <c r="B257" s="1" t="n">
        <v>43994</v>
      </c>
      <c r="C257" s="1" t="n">
        <v>45513</v>
      </c>
      <c r="D257" t="inlineStr">
        <is>
          <t>ÖREBRO LÄN</t>
        </is>
      </c>
      <c r="E257" t="inlineStr">
        <is>
          <t>ÖREBRO</t>
        </is>
      </c>
      <c r="G257" t="n">
        <v>0.8</v>
      </c>
      <c r="H257" t="n">
        <v>0</v>
      </c>
      <c r="I257" t="n">
        <v>0</v>
      </c>
      <c r="J257" t="n">
        <v>0</v>
      </c>
      <c r="K257" t="n">
        <v>0</v>
      </c>
      <c r="L257" t="n">
        <v>0</v>
      </c>
      <c r="M257" t="n">
        <v>0</v>
      </c>
      <c r="N257" t="n">
        <v>0</v>
      </c>
      <c r="O257" t="n">
        <v>0</v>
      </c>
      <c r="P257" t="n">
        <v>0</v>
      </c>
      <c r="Q257" t="n">
        <v>0</v>
      </c>
      <c r="R257" s="2" t="inlineStr"/>
    </row>
    <row r="258" ht="15" customHeight="1">
      <c r="A258" t="inlineStr">
        <is>
          <t>A 27744-2020</t>
        </is>
      </c>
      <c r="B258" s="1" t="n">
        <v>43994</v>
      </c>
      <c r="C258" s="1" t="n">
        <v>45513</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28036-2020</t>
        </is>
      </c>
      <c r="B259" s="1" t="n">
        <v>43997</v>
      </c>
      <c r="C259" s="1" t="n">
        <v>45513</v>
      </c>
      <c r="D259" t="inlineStr">
        <is>
          <t>ÖREBRO LÄN</t>
        </is>
      </c>
      <c r="E259" t="inlineStr">
        <is>
          <t>ÖREBRO</t>
        </is>
      </c>
      <c r="G259" t="n">
        <v>2.5</v>
      </c>
      <c r="H259" t="n">
        <v>0</v>
      </c>
      <c r="I259" t="n">
        <v>0</v>
      </c>
      <c r="J259" t="n">
        <v>0</v>
      </c>
      <c r="K259" t="n">
        <v>0</v>
      </c>
      <c r="L259" t="n">
        <v>0</v>
      </c>
      <c r="M259" t="n">
        <v>0</v>
      </c>
      <c r="N259" t="n">
        <v>0</v>
      </c>
      <c r="O259" t="n">
        <v>0</v>
      </c>
      <c r="P259" t="n">
        <v>0</v>
      </c>
      <c r="Q259" t="n">
        <v>0</v>
      </c>
      <c r="R259" s="2" t="inlineStr"/>
    </row>
    <row r="260" ht="15" customHeight="1">
      <c r="A260" t="inlineStr">
        <is>
          <t>A 28092-2020</t>
        </is>
      </c>
      <c r="B260" s="1" t="n">
        <v>43997</v>
      </c>
      <c r="C260" s="1" t="n">
        <v>45513</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28102-2020</t>
        </is>
      </c>
      <c r="B261" s="1" t="n">
        <v>43997</v>
      </c>
      <c r="C261" s="1" t="n">
        <v>45513</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28410-2020</t>
        </is>
      </c>
      <c r="B262" s="1" t="n">
        <v>43998</v>
      </c>
      <c r="C262" s="1" t="n">
        <v>45513</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28456-2020</t>
        </is>
      </c>
      <c r="B263" s="1" t="n">
        <v>43998</v>
      </c>
      <c r="C263" s="1" t="n">
        <v>45513</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29453-2020</t>
        </is>
      </c>
      <c r="B264" s="1" t="n">
        <v>44004</v>
      </c>
      <c r="C264" s="1" t="n">
        <v>45513</v>
      </c>
      <c r="D264" t="inlineStr">
        <is>
          <t>ÖREBRO LÄN</t>
        </is>
      </c>
      <c r="E264" t="inlineStr">
        <is>
          <t>ÖREBRO</t>
        </is>
      </c>
      <c r="G264" t="n">
        <v>6.2</v>
      </c>
      <c r="H264" t="n">
        <v>0</v>
      </c>
      <c r="I264" t="n">
        <v>0</v>
      </c>
      <c r="J264" t="n">
        <v>0</v>
      </c>
      <c r="K264" t="n">
        <v>0</v>
      </c>
      <c r="L264" t="n">
        <v>0</v>
      </c>
      <c r="M264" t="n">
        <v>0</v>
      </c>
      <c r="N264" t="n">
        <v>0</v>
      </c>
      <c r="O264" t="n">
        <v>0</v>
      </c>
      <c r="P264" t="n">
        <v>0</v>
      </c>
      <c r="Q264" t="n">
        <v>0</v>
      </c>
      <c r="R264" s="2" t="inlineStr"/>
    </row>
    <row r="265" ht="15" customHeight="1">
      <c r="A265" t="inlineStr">
        <is>
          <t>A 31120-2020</t>
        </is>
      </c>
      <c r="B265" s="1" t="n">
        <v>44012</v>
      </c>
      <c r="C265" s="1" t="n">
        <v>45513</v>
      </c>
      <c r="D265" t="inlineStr">
        <is>
          <t>ÖREBRO LÄN</t>
        </is>
      </c>
      <c r="E265" t="inlineStr">
        <is>
          <t>ÖREBRO</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31149-2020</t>
        </is>
      </c>
      <c r="B266" s="1" t="n">
        <v>44012</v>
      </c>
      <c r="C266" s="1" t="n">
        <v>45513</v>
      </c>
      <c r="D266" t="inlineStr">
        <is>
          <t>ÖREBRO LÄN</t>
        </is>
      </c>
      <c r="E266" t="inlineStr">
        <is>
          <t>ÖREBRO</t>
        </is>
      </c>
      <c r="F266" t="inlineStr">
        <is>
          <t>Sveaskog</t>
        </is>
      </c>
      <c r="G266" t="n">
        <v>5.6</v>
      </c>
      <c r="H266" t="n">
        <v>0</v>
      </c>
      <c r="I266" t="n">
        <v>0</v>
      </c>
      <c r="J266" t="n">
        <v>0</v>
      </c>
      <c r="K266" t="n">
        <v>0</v>
      </c>
      <c r="L266" t="n">
        <v>0</v>
      </c>
      <c r="M266" t="n">
        <v>0</v>
      </c>
      <c r="N266" t="n">
        <v>0</v>
      </c>
      <c r="O266" t="n">
        <v>0</v>
      </c>
      <c r="P266" t="n">
        <v>0</v>
      </c>
      <c r="Q266" t="n">
        <v>0</v>
      </c>
      <c r="R266" s="2" t="inlineStr"/>
    </row>
    <row r="267" ht="15" customHeight="1">
      <c r="A267" t="inlineStr">
        <is>
          <t>A 31397-2020</t>
        </is>
      </c>
      <c r="B267" s="1" t="n">
        <v>44012</v>
      </c>
      <c r="C267" s="1" t="n">
        <v>45513</v>
      </c>
      <c r="D267" t="inlineStr">
        <is>
          <t>ÖREBRO LÄN</t>
        </is>
      </c>
      <c r="E267" t="inlineStr">
        <is>
          <t>ÖREBRO</t>
        </is>
      </c>
      <c r="F267" t="inlineStr">
        <is>
          <t>Kommuner</t>
        </is>
      </c>
      <c r="G267" t="n">
        <v>4.2</v>
      </c>
      <c r="H267" t="n">
        <v>0</v>
      </c>
      <c r="I267" t="n">
        <v>0</v>
      </c>
      <c r="J267" t="n">
        <v>0</v>
      </c>
      <c r="K267" t="n">
        <v>0</v>
      </c>
      <c r="L267" t="n">
        <v>0</v>
      </c>
      <c r="M267" t="n">
        <v>0</v>
      </c>
      <c r="N267" t="n">
        <v>0</v>
      </c>
      <c r="O267" t="n">
        <v>0</v>
      </c>
      <c r="P267" t="n">
        <v>0</v>
      </c>
      <c r="Q267" t="n">
        <v>0</v>
      </c>
      <c r="R267" s="2" t="inlineStr"/>
    </row>
    <row r="268" ht="15" customHeight="1">
      <c r="A268" t="inlineStr">
        <is>
          <t>A 31933-2020</t>
        </is>
      </c>
      <c r="B268" s="1" t="n">
        <v>44014</v>
      </c>
      <c r="C268" s="1" t="n">
        <v>45513</v>
      </c>
      <c r="D268" t="inlineStr">
        <is>
          <t>ÖREBRO LÄN</t>
        </is>
      </c>
      <c r="E268" t="inlineStr">
        <is>
          <t>ÖREBRO</t>
        </is>
      </c>
      <c r="F268" t="inlineStr">
        <is>
          <t>Kommuner</t>
        </is>
      </c>
      <c r="G268" t="n">
        <v>6.8</v>
      </c>
      <c r="H268" t="n">
        <v>0</v>
      </c>
      <c r="I268" t="n">
        <v>0</v>
      </c>
      <c r="J268" t="n">
        <v>0</v>
      </c>
      <c r="K268" t="n">
        <v>0</v>
      </c>
      <c r="L268" t="n">
        <v>0</v>
      </c>
      <c r="M268" t="n">
        <v>0</v>
      </c>
      <c r="N268" t="n">
        <v>0</v>
      </c>
      <c r="O268" t="n">
        <v>0</v>
      </c>
      <c r="P268" t="n">
        <v>0</v>
      </c>
      <c r="Q268" t="n">
        <v>0</v>
      </c>
      <c r="R268" s="2" t="inlineStr"/>
    </row>
    <row r="269" ht="15" customHeight="1">
      <c r="A269" t="inlineStr">
        <is>
          <t>A 33125-2020</t>
        </is>
      </c>
      <c r="B269" s="1" t="n">
        <v>44020</v>
      </c>
      <c r="C269" s="1" t="n">
        <v>45513</v>
      </c>
      <c r="D269" t="inlineStr">
        <is>
          <t>ÖREBRO LÄN</t>
        </is>
      </c>
      <c r="E269" t="inlineStr">
        <is>
          <t>ÖREBRO</t>
        </is>
      </c>
      <c r="G269" t="n">
        <v>6.6</v>
      </c>
      <c r="H269" t="n">
        <v>0</v>
      </c>
      <c r="I269" t="n">
        <v>0</v>
      </c>
      <c r="J269" t="n">
        <v>0</v>
      </c>
      <c r="K269" t="n">
        <v>0</v>
      </c>
      <c r="L269" t="n">
        <v>0</v>
      </c>
      <c r="M269" t="n">
        <v>0</v>
      </c>
      <c r="N269" t="n">
        <v>0</v>
      </c>
      <c r="O269" t="n">
        <v>0</v>
      </c>
      <c r="P269" t="n">
        <v>0</v>
      </c>
      <c r="Q269" t="n">
        <v>0</v>
      </c>
      <c r="R269" s="2" t="inlineStr"/>
    </row>
    <row r="270" ht="15" customHeight="1">
      <c r="A270" t="inlineStr">
        <is>
          <t>A 33092-2020</t>
        </is>
      </c>
      <c r="B270" s="1" t="n">
        <v>44020</v>
      </c>
      <c r="C270" s="1" t="n">
        <v>45513</v>
      </c>
      <c r="D270" t="inlineStr">
        <is>
          <t>ÖREBRO LÄN</t>
        </is>
      </c>
      <c r="E270" t="inlineStr">
        <is>
          <t>ÖREBRO</t>
        </is>
      </c>
      <c r="G270" t="n">
        <v>1.4</v>
      </c>
      <c r="H270" t="n">
        <v>0</v>
      </c>
      <c r="I270" t="n">
        <v>0</v>
      </c>
      <c r="J270" t="n">
        <v>0</v>
      </c>
      <c r="K270" t="n">
        <v>0</v>
      </c>
      <c r="L270" t="n">
        <v>0</v>
      </c>
      <c r="M270" t="n">
        <v>0</v>
      </c>
      <c r="N270" t="n">
        <v>0</v>
      </c>
      <c r="O270" t="n">
        <v>0</v>
      </c>
      <c r="P270" t="n">
        <v>0</v>
      </c>
      <c r="Q270" t="n">
        <v>0</v>
      </c>
      <c r="R270" s="2" t="inlineStr"/>
    </row>
    <row r="271" ht="15" customHeight="1">
      <c r="A271" t="inlineStr">
        <is>
          <t>A 33120-2020</t>
        </is>
      </c>
      <c r="B271" s="1" t="n">
        <v>44020</v>
      </c>
      <c r="C271" s="1" t="n">
        <v>45513</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33117-2020</t>
        </is>
      </c>
      <c r="B272" s="1" t="n">
        <v>44020</v>
      </c>
      <c r="C272" s="1" t="n">
        <v>45513</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35522-2020</t>
        </is>
      </c>
      <c r="B273" s="1" t="n">
        <v>44043</v>
      </c>
      <c r="C273" s="1" t="n">
        <v>45513</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36778-2020</t>
        </is>
      </c>
      <c r="B274" s="1" t="n">
        <v>44053</v>
      </c>
      <c r="C274" s="1" t="n">
        <v>45513</v>
      </c>
      <c r="D274" t="inlineStr">
        <is>
          <t>ÖREBRO LÄN</t>
        </is>
      </c>
      <c r="E274" t="inlineStr">
        <is>
          <t>ÖREBRO</t>
        </is>
      </c>
      <c r="F274" t="inlineStr">
        <is>
          <t>Allmännings- och besparingsskogar</t>
        </is>
      </c>
      <c r="G274" t="n">
        <v>26.4</v>
      </c>
      <c r="H274" t="n">
        <v>0</v>
      </c>
      <c r="I274" t="n">
        <v>0</v>
      </c>
      <c r="J274" t="n">
        <v>0</v>
      </c>
      <c r="K274" t="n">
        <v>0</v>
      </c>
      <c r="L274" t="n">
        <v>0</v>
      </c>
      <c r="M274" t="n">
        <v>0</v>
      </c>
      <c r="N274" t="n">
        <v>0</v>
      </c>
      <c r="O274" t="n">
        <v>0</v>
      </c>
      <c r="P274" t="n">
        <v>0</v>
      </c>
      <c r="Q274" t="n">
        <v>0</v>
      </c>
      <c r="R274" s="2" t="inlineStr"/>
    </row>
    <row r="275" ht="15" customHeight="1">
      <c r="A275" t="inlineStr">
        <is>
          <t>A 36762-2020</t>
        </is>
      </c>
      <c r="B275" s="1" t="n">
        <v>44053</v>
      </c>
      <c r="C275" s="1" t="n">
        <v>45513</v>
      </c>
      <c r="D275" t="inlineStr">
        <is>
          <t>ÖREBRO LÄN</t>
        </is>
      </c>
      <c r="E275" t="inlineStr">
        <is>
          <t>ÖREBRO</t>
        </is>
      </c>
      <c r="F275" t="inlineStr">
        <is>
          <t>Allmännings- och besparingsskogar</t>
        </is>
      </c>
      <c r="G275" t="n">
        <v>12.3</v>
      </c>
      <c r="H275" t="n">
        <v>0</v>
      </c>
      <c r="I275" t="n">
        <v>0</v>
      </c>
      <c r="J275" t="n">
        <v>0</v>
      </c>
      <c r="K275" t="n">
        <v>0</v>
      </c>
      <c r="L275" t="n">
        <v>0</v>
      </c>
      <c r="M275" t="n">
        <v>0</v>
      </c>
      <c r="N275" t="n">
        <v>0</v>
      </c>
      <c r="O275" t="n">
        <v>0</v>
      </c>
      <c r="P275" t="n">
        <v>0</v>
      </c>
      <c r="Q275" t="n">
        <v>0</v>
      </c>
      <c r="R275" s="2" t="inlineStr"/>
    </row>
    <row r="276" ht="15" customHeight="1">
      <c r="A276" t="inlineStr">
        <is>
          <t>A 37654-2020</t>
        </is>
      </c>
      <c r="B276" s="1" t="n">
        <v>44056</v>
      </c>
      <c r="C276" s="1" t="n">
        <v>45513</v>
      </c>
      <c r="D276" t="inlineStr">
        <is>
          <t>ÖREBRO LÄN</t>
        </is>
      </c>
      <c r="E276" t="inlineStr">
        <is>
          <t>ÖREBRO</t>
        </is>
      </c>
      <c r="G276" t="n">
        <v>6.1</v>
      </c>
      <c r="H276" t="n">
        <v>0</v>
      </c>
      <c r="I276" t="n">
        <v>0</v>
      </c>
      <c r="J276" t="n">
        <v>0</v>
      </c>
      <c r="K276" t="n">
        <v>0</v>
      </c>
      <c r="L276" t="n">
        <v>0</v>
      </c>
      <c r="M276" t="n">
        <v>0</v>
      </c>
      <c r="N276" t="n">
        <v>0</v>
      </c>
      <c r="O276" t="n">
        <v>0</v>
      </c>
      <c r="P276" t="n">
        <v>0</v>
      </c>
      <c r="Q276" t="n">
        <v>0</v>
      </c>
      <c r="R276" s="2" t="inlineStr"/>
    </row>
    <row r="277" ht="15" customHeight="1">
      <c r="A277" t="inlineStr">
        <is>
          <t>A 38532-2020</t>
        </is>
      </c>
      <c r="B277" s="1" t="n">
        <v>44061</v>
      </c>
      <c r="C277" s="1" t="n">
        <v>45513</v>
      </c>
      <c r="D277" t="inlineStr">
        <is>
          <t>ÖREBRO LÄN</t>
        </is>
      </c>
      <c r="E277" t="inlineStr">
        <is>
          <t>ÖREBRO</t>
        </is>
      </c>
      <c r="G277" t="n">
        <v>3.8</v>
      </c>
      <c r="H277" t="n">
        <v>0</v>
      </c>
      <c r="I277" t="n">
        <v>0</v>
      </c>
      <c r="J277" t="n">
        <v>0</v>
      </c>
      <c r="K277" t="n">
        <v>0</v>
      </c>
      <c r="L277" t="n">
        <v>0</v>
      </c>
      <c r="M277" t="n">
        <v>0</v>
      </c>
      <c r="N277" t="n">
        <v>0</v>
      </c>
      <c r="O277" t="n">
        <v>0</v>
      </c>
      <c r="P277" t="n">
        <v>0</v>
      </c>
      <c r="Q277" t="n">
        <v>0</v>
      </c>
      <c r="R277" s="2" t="inlineStr"/>
    </row>
    <row r="278" ht="15" customHeight="1">
      <c r="A278" t="inlineStr">
        <is>
          <t>A 38691-2020</t>
        </is>
      </c>
      <c r="B278" s="1" t="n">
        <v>44061</v>
      </c>
      <c r="C278" s="1" t="n">
        <v>45513</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38960-2020</t>
        </is>
      </c>
      <c r="B279" s="1" t="n">
        <v>44062</v>
      </c>
      <c r="C279" s="1" t="n">
        <v>45513</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39307-2020</t>
        </is>
      </c>
      <c r="B280" s="1" t="n">
        <v>44063</v>
      </c>
      <c r="C280" s="1" t="n">
        <v>45513</v>
      </c>
      <c r="D280" t="inlineStr">
        <is>
          <t>ÖREBRO LÄN</t>
        </is>
      </c>
      <c r="E280" t="inlineStr">
        <is>
          <t>ÖREBRO</t>
        </is>
      </c>
      <c r="G280" t="n">
        <v>3.9</v>
      </c>
      <c r="H280" t="n">
        <v>0</v>
      </c>
      <c r="I280" t="n">
        <v>0</v>
      </c>
      <c r="J280" t="n">
        <v>0</v>
      </c>
      <c r="K280" t="n">
        <v>0</v>
      </c>
      <c r="L280" t="n">
        <v>0</v>
      </c>
      <c r="M280" t="n">
        <v>0</v>
      </c>
      <c r="N280" t="n">
        <v>0</v>
      </c>
      <c r="O280" t="n">
        <v>0</v>
      </c>
      <c r="P280" t="n">
        <v>0</v>
      </c>
      <c r="Q280" t="n">
        <v>0</v>
      </c>
      <c r="R280" s="2" t="inlineStr"/>
    </row>
    <row r="281" ht="15" customHeight="1">
      <c r="A281" t="inlineStr">
        <is>
          <t>A 39514-2020</t>
        </is>
      </c>
      <c r="B281" s="1" t="n">
        <v>44064</v>
      </c>
      <c r="C281" s="1" t="n">
        <v>45513</v>
      </c>
      <c r="D281" t="inlineStr">
        <is>
          <t>ÖREBRO LÄN</t>
        </is>
      </c>
      <c r="E281" t="inlineStr">
        <is>
          <t>ÖREBRO</t>
        </is>
      </c>
      <c r="G281" t="n">
        <v>4.6</v>
      </c>
      <c r="H281" t="n">
        <v>0</v>
      </c>
      <c r="I281" t="n">
        <v>0</v>
      </c>
      <c r="J281" t="n">
        <v>0</v>
      </c>
      <c r="K281" t="n">
        <v>0</v>
      </c>
      <c r="L281" t="n">
        <v>0</v>
      </c>
      <c r="M281" t="n">
        <v>0</v>
      </c>
      <c r="N281" t="n">
        <v>0</v>
      </c>
      <c r="O281" t="n">
        <v>0</v>
      </c>
      <c r="P281" t="n">
        <v>0</v>
      </c>
      <c r="Q281" t="n">
        <v>0</v>
      </c>
      <c r="R281" s="2" t="inlineStr"/>
    </row>
    <row r="282" ht="15" customHeight="1">
      <c r="A282" t="inlineStr">
        <is>
          <t>A 39642-2020</t>
        </is>
      </c>
      <c r="B282" s="1" t="n">
        <v>44064</v>
      </c>
      <c r="C282" s="1" t="n">
        <v>45513</v>
      </c>
      <c r="D282" t="inlineStr">
        <is>
          <t>ÖREBRO LÄN</t>
        </is>
      </c>
      <c r="E282" t="inlineStr">
        <is>
          <t>ÖREBRO</t>
        </is>
      </c>
      <c r="G282" t="n">
        <v>6.4</v>
      </c>
      <c r="H282" t="n">
        <v>0</v>
      </c>
      <c r="I282" t="n">
        <v>0</v>
      </c>
      <c r="J282" t="n">
        <v>0</v>
      </c>
      <c r="K282" t="n">
        <v>0</v>
      </c>
      <c r="L282" t="n">
        <v>0</v>
      </c>
      <c r="M282" t="n">
        <v>0</v>
      </c>
      <c r="N282" t="n">
        <v>0</v>
      </c>
      <c r="O282" t="n">
        <v>0</v>
      </c>
      <c r="P282" t="n">
        <v>0</v>
      </c>
      <c r="Q282" t="n">
        <v>0</v>
      </c>
      <c r="R282" s="2" t="inlineStr"/>
    </row>
    <row r="283" ht="15" customHeight="1">
      <c r="A283" t="inlineStr">
        <is>
          <t>A 40356-2020</t>
        </is>
      </c>
      <c r="B283" s="1" t="n">
        <v>44067</v>
      </c>
      <c r="C283" s="1" t="n">
        <v>45513</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40442-2020</t>
        </is>
      </c>
      <c r="B284" s="1" t="n">
        <v>44069</v>
      </c>
      <c r="C284" s="1" t="n">
        <v>45513</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40652-2020</t>
        </is>
      </c>
      <c r="B285" s="1" t="n">
        <v>44069</v>
      </c>
      <c r="C285" s="1" t="n">
        <v>45513</v>
      </c>
      <c r="D285" t="inlineStr">
        <is>
          <t>ÖREBRO LÄN</t>
        </is>
      </c>
      <c r="E285" t="inlineStr">
        <is>
          <t>ÖREBRO</t>
        </is>
      </c>
      <c r="F285" t="inlineStr">
        <is>
          <t>Övriga Aktiebolag</t>
        </is>
      </c>
      <c r="G285" t="n">
        <v>8.4</v>
      </c>
      <c r="H285" t="n">
        <v>0</v>
      </c>
      <c r="I285" t="n">
        <v>0</v>
      </c>
      <c r="J285" t="n">
        <v>0</v>
      </c>
      <c r="K285" t="n">
        <v>0</v>
      </c>
      <c r="L285" t="n">
        <v>0</v>
      </c>
      <c r="M285" t="n">
        <v>0</v>
      </c>
      <c r="N285" t="n">
        <v>0</v>
      </c>
      <c r="O285" t="n">
        <v>0</v>
      </c>
      <c r="P285" t="n">
        <v>0</v>
      </c>
      <c r="Q285" t="n">
        <v>0</v>
      </c>
      <c r="R285" s="2" t="inlineStr"/>
    </row>
    <row r="286" ht="15" customHeight="1">
      <c r="A286" t="inlineStr">
        <is>
          <t>A 41116-2020</t>
        </is>
      </c>
      <c r="B286" s="1" t="n">
        <v>44071</v>
      </c>
      <c r="C286" s="1" t="n">
        <v>45513</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42285-2020</t>
        </is>
      </c>
      <c r="B287" s="1" t="n">
        <v>44076</v>
      </c>
      <c r="C287" s="1" t="n">
        <v>45513</v>
      </c>
      <c r="D287" t="inlineStr">
        <is>
          <t>ÖREBRO LÄN</t>
        </is>
      </c>
      <c r="E287" t="inlineStr">
        <is>
          <t>ÖREBRO</t>
        </is>
      </c>
      <c r="F287" t="inlineStr">
        <is>
          <t>Övriga Aktiebolag</t>
        </is>
      </c>
      <c r="G287" t="n">
        <v>0.4</v>
      </c>
      <c r="H287" t="n">
        <v>0</v>
      </c>
      <c r="I287" t="n">
        <v>0</v>
      </c>
      <c r="J287" t="n">
        <v>0</v>
      </c>
      <c r="K287" t="n">
        <v>0</v>
      </c>
      <c r="L287" t="n">
        <v>0</v>
      </c>
      <c r="M287" t="n">
        <v>0</v>
      </c>
      <c r="N287" t="n">
        <v>0</v>
      </c>
      <c r="O287" t="n">
        <v>0</v>
      </c>
      <c r="P287" t="n">
        <v>0</v>
      </c>
      <c r="Q287" t="n">
        <v>0</v>
      </c>
      <c r="R287" s="2" t="inlineStr"/>
    </row>
    <row r="288" ht="15" customHeight="1">
      <c r="A288" t="inlineStr">
        <is>
          <t>A 42865-2020</t>
        </is>
      </c>
      <c r="B288" s="1" t="n">
        <v>44078</v>
      </c>
      <c r="C288" s="1" t="n">
        <v>45513</v>
      </c>
      <c r="D288" t="inlineStr">
        <is>
          <t>ÖREBRO LÄN</t>
        </is>
      </c>
      <c r="E288" t="inlineStr">
        <is>
          <t>ÖREBRO</t>
        </is>
      </c>
      <c r="G288" t="n">
        <v>5.2</v>
      </c>
      <c r="H288" t="n">
        <v>0</v>
      </c>
      <c r="I288" t="n">
        <v>0</v>
      </c>
      <c r="J288" t="n">
        <v>0</v>
      </c>
      <c r="K288" t="n">
        <v>0</v>
      </c>
      <c r="L288" t="n">
        <v>0</v>
      </c>
      <c r="M288" t="n">
        <v>0</v>
      </c>
      <c r="N288" t="n">
        <v>0</v>
      </c>
      <c r="O288" t="n">
        <v>0</v>
      </c>
      <c r="P288" t="n">
        <v>0</v>
      </c>
      <c r="Q288" t="n">
        <v>0</v>
      </c>
      <c r="R288" s="2" t="inlineStr"/>
    </row>
    <row r="289" ht="15" customHeight="1">
      <c r="A289" t="inlineStr">
        <is>
          <t>A 42957-2020</t>
        </is>
      </c>
      <c r="B289" s="1" t="n">
        <v>44078</v>
      </c>
      <c r="C289" s="1" t="n">
        <v>45513</v>
      </c>
      <c r="D289" t="inlineStr">
        <is>
          <t>ÖREBRO LÄN</t>
        </is>
      </c>
      <c r="E289" t="inlineStr">
        <is>
          <t>ÖREBRO</t>
        </is>
      </c>
      <c r="G289" t="n">
        <v>1.4</v>
      </c>
      <c r="H289" t="n">
        <v>0</v>
      </c>
      <c r="I289" t="n">
        <v>0</v>
      </c>
      <c r="J289" t="n">
        <v>0</v>
      </c>
      <c r="K289" t="n">
        <v>0</v>
      </c>
      <c r="L289" t="n">
        <v>0</v>
      </c>
      <c r="M289" t="n">
        <v>0</v>
      </c>
      <c r="N289" t="n">
        <v>0</v>
      </c>
      <c r="O289" t="n">
        <v>0</v>
      </c>
      <c r="P289" t="n">
        <v>0</v>
      </c>
      <c r="Q289" t="n">
        <v>0</v>
      </c>
      <c r="R289" s="2" t="inlineStr"/>
    </row>
    <row r="290" ht="15" customHeight="1">
      <c r="A290" t="inlineStr">
        <is>
          <t>A 44331-2020</t>
        </is>
      </c>
      <c r="B290" s="1" t="n">
        <v>44084</v>
      </c>
      <c r="C290" s="1" t="n">
        <v>45513</v>
      </c>
      <c r="D290" t="inlineStr">
        <is>
          <t>ÖREBRO LÄN</t>
        </is>
      </c>
      <c r="E290" t="inlineStr">
        <is>
          <t>ÖREBRO</t>
        </is>
      </c>
      <c r="G290" t="n">
        <v>5.3</v>
      </c>
      <c r="H290" t="n">
        <v>0</v>
      </c>
      <c r="I290" t="n">
        <v>0</v>
      </c>
      <c r="J290" t="n">
        <v>0</v>
      </c>
      <c r="K290" t="n">
        <v>0</v>
      </c>
      <c r="L290" t="n">
        <v>0</v>
      </c>
      <c r="M290" t="n">
        <v>0</v>
      </c>
      <c r="N290" t="n">
        <v>0</v>
      </c>
      <c r="O290" t="n">
        <v>0</v>
      </c>
      <c r="P290" t="n">
        <v>0</v>
      </c>
      <c r="Q290" t="n">
        <v>0</v>
      </c>
      <c r="R290" s="2" t="inlineStr"/>
    </row>
    <row r="291" ht="15" customHeight="1">
      <c r="A291" t="inlineStr">
        <is>
          <t>A 44514-2020</t>
        </is>
      </c>
      <c r="B291" s="1" t="n">
        <v>44085</v>
      </c>
      <c r="C291" s="1" t="n">
        <v>45513</v>
      </c>
      <c r="D291" t="inlineStr">
        <is>
          <t>ÖREBRO LÄN</t>
        </is>
      </c>
      <c r="E291" t="inlineStr">
        <is>
          <t>ÖREBRO</t>
        </is>
      </c>
      <c r="G291" t="n">
        <v>3</v>
      </c>
      <c r="H291" t="n">
        <v>0</v>
      </c>
      <c r="I291" t="n">
        <v>0</v>
      </c>
      <c r="J291" t="n">
        <v>0</v>
      </c>
      <c r="K291" t="n">
        <v>0</v>
      </c>
      <c r="L291" t="n">
        <v>0</v>
      </c>
      <c r="M291" t="n">
        <v>0</v>
      </c>
      <c r="N291" t="n">
        <v>0</v>
      </c>
      <c r="O291" t="n">
        <v>0</v>
      </c>
      <c r="P291" t="n">
        <v>0</v>
      </c>
      <c r="Q291" t="n">
        <v>0</v>
      </c>
      <c r="R291" s="2" t="inlineStr"/>
    </row>
    <row r="292" ht="15" customHeight="1">
      <c r="A292" t="inlineStr">
        <is>
          <t>A 44966-2020</t>
        </is>
      </c>
      <c r="B292" s="1" t="n">
        <v>44088</v>
      </c>
      <c r="C292" s="1" t="n">
        <v>45513</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45029-2020</t>
        </is>
      </c>
      <c r="B293" s="1" t="n">
        <v>44088</v>
      </c>
      <c r="C293" s="1" t="n">
        <v>45513</v>
      </c>
      <c r="D293" t="inlineStr">
        <is>
          <t>ÖREBRO LÄN</t>
        </is>
      </c>
      <c r="E293" t="inlineStr">
        <is>
          <t>ÖREBRO</t>
        </is>
      </c>
      <c r="G293" t="n">
        <v>3.8</v>
      </c>
      <c r="H293" t="n">
        <v>0</v>
      </c>
      <c r="I293" t="n">
        <v>0</v>
      </c>
      <c r="J293" t="n">
        <v>0</v>
      </c>
      <c r="K293" t="n">
        <v>0</v>
      </c>
      <c r="L293" t="n">
        <v>0</v>
      </c>
      <c r="M293" t="n">
        <v>0</v>
      </c>
      <c r="N293" t="n">
        <v>0</v>
      </c>
      <c r="O293" t="n">
        <v>0</v>
      </c>
      <c r="P293" t="n">
        <v>0</v>
      </c>
      <c r="Q293" t="n">
        <v>0</v>
      </c>
      <c r="R293" s="2" t="inlineStr"/>
    </row>
    <row r="294" ht="15" customHeight="1">
      <c r="A294" t="inlineStr">
        <is>
          <t>A 46053-2020</t>
        </is>
      </c>
      <c r="B294" s="1" t="n">
        <v>44088</v>
      </c>
      <c r="C294" s="1" t="n">
        <v>45513</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46092-2020</t>
        </is>
      </c>
      <c r="B295" s="1" t="n">
        <v>44091</v>
      </c>
      <c r="C295" s="1" t="n">
        <v>45513</v>
      </c>
      <c r="D295" t="inlineStr">
        <is>
          <t>ÖREBRO LÄN</t>
        </is>
      </c>
      <c r="E295" t="inlineStr">
        <is>
          <t>ÖREBRO</t>
        </is>
      </c>
      <c r="F295" t="inlineStr">
        <is>
          <t>Övriga Aktiebolag</t>
        </is>
      </c>
      <c r="G295" t="n">
        <v>1</v>
      </c>
      <c r="H295" t="n">
        <v>0</v>
      </c>
      <c r="I295" t="n">
        <v>0</v>
      </c>
      <c r="J295" t="n">
        <v>0</v>
      </c>
      <c r="K295" t="n">
        <v>0</v>
      </c>
      <c r="L295" t="n">
        <v>0</v>
      </c>
      <c r="M295" t="n">
        <v>0</v>
      </c>
      <c r="N295" t="n">
        <v>0</v>
      </c>
      <c r="O295" t="n">
        <v>0</v>
      </c>
      <c r="P295" t="n">
        <v>0</v>
      </c>
      <c r="Q295" t="n">
        <v>0</v>
      </c>
      <c r="R295" s="2" t="inlineStr"/>
    </row>
    <row r="296" ht="15" customHeight="1">
      <c r="A296" t="inlineStr">
        <is>
          <t>A 46607-2020</t>
        </is>
      </c>
      <c r="B296" s="1" t="n">
        <v>44095</v>
      </c>
      <c r="C296" s="1" t="n">
        <v>45513</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47993-2020</t>
        </is>
      </c>
      <c r="B297" s="1" t="n">
        <v>44095</v>
      </c>
      <c r="C297" s="1" t="n">
        <v>45513</v>
      </c>
      <c r="D297" t="inlineStr">
        <is>
          <t>ÖREBRO LÄN</t>
        </is>
      </c>
      <c r="E297" t="inlineStr">
        <is>
          <t>ÖREBRO</t>
        </is>
      </c>
      <c r="G297" t="n">
        <v>4.3</v>
      </c>
      <c r="H297" t="n">
        <v>0</v>
      </c>
      <c r="I297" t="n">
        <v>0</v>
      </c>
      <c r="J297" t="n">
        <v>0</v>
      </c>
      <c r="K297" t="n">
        <v>0</v>
      </c>
      <c r="L297" t="n">
        <v>0</v>
      </c>
      <c r="M297" t="n">
        <v>0</v>
      </c>
      <c r="N297" t="n">
        <v>0</v>
      </c>
      <c r="O297" t="n">
        <v>0</v>
      </c>
      <c r="P297" t="n">
        <v>0</v>
      </c>
      <c r="Q297" t="n">
        <v>0</v>
      </c>
      <c r="R297" s="2" t="inlineStr"/>
    </row>
    <row r="298" ht="15" customHeight="1">
      <c r="A298" t="inlineStr">
        <is>
          <t>A 47517-2020</t>
        </is>
      </c>
      <c r="B298" s="1" t="n">
        <v>44095</v>
      </c>
      <c r="C298" s="1" t="n">
        <v>45513</v>
      </c>
      <c r="D298" t="inlineStr">
        <is>
          <t>ÖREBRO LÄN</t>
        </is>
      </c>
      <c r="E298" t="inlineStr">
        <is>
          <t>ÖREBRO</t>
        </is>
      </c>
      <c r="G298" t="n">
        <v>7</v>
      </c>
      <c r="H298" t="n">
        <v>0</v>
      </c>
      <c r="I298" t="n">
        <v>0</v>
      </c>
      <c r="J298" t="n">
        <v>0</v>
      </c>
      <c r="K298" t="n">
        <v>0</v>
      </c>
      <c r="L298" t="n">
        <v>0</v>
      </c>
      <c r="M298" t="n">
        <v>0</v>
      </c>
      <c r="N298" t="n">
        <v>0</v>
      </c>
      <c r="O298" t="n">
        <v>0</v>
      </c>
      <c r="P298" t="n">
        <v>0</v>
      </c>
      <c r="Q298" t="n">
        <v>0</v>
      </c>
      <c r="R298" s="2" t="inlineStr"/>
    </row>
    <row r="299" ht="15" customHeight="1">
      <c r="A299" t="inlineStr">
        <is>
          <t>A 48109-2020</t>
        </is>
      </c>
      <c r="B299" s="1" t="n">
        <v>44101</v>
      </c>
      <c r="C299" s="1" t="n">
        <v>45513</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48889-2020</t>
        </is>
      </c>
      <c r="B300" s="1" t="n">
        <v>44104</v>
      </c>
      <c r="C300" s="1" t="n">
        <v>45513</v>
      </c>
      <c r="D300" t="inlineStr">
        <is>
          <t>ÖREBRO LÄN</t>
        </is>
      </c>
      <c r="E300" t="inlineStr">
        <is>
          <t>ÖREBRO</t>
        </is>
      </c>
      <c r="G300" t="n">
        <v>0.8</v>
      </c>
      <c r="H300" t="n">
        <v>0</v>
      </c>
      <c r="I300" t="n">
        <v>0</v>
      </c>
      <c r="J300" t="n">
        <v>0</v>
      </c>
      <c r="K300" t="n">
        <v>0</v>
      </c>
      <c r="L300" t="n">
        <v>0</v>
      </c>
      <c r="M300" t="n">
        <v>0</v>
      </c>
      <c r="N300" t="n">
        <v>0</v>
      </c>
      <c r="O300" t="n">
        <v>0</v>
      </c>
      <c r="P300" t="n">
        <v>0</v>
      </c>
      <c r="Q300" t="n">
        <v>0</v>
      </c>
      <c r="R300" s="2" t="inlineStr"/>
    </row>
    <row r="301" ht="15" customHeight="1">
      <c r="A301" t="inlineStr">
        <is>
          <t>A 48878-2020</t>
        </is>
      </c>
      <c r="B301" s="1" t="n">
        <v>44104</v>
      </c>
      <c r="C301" s="1" t="n">
        <v>45513</v>
      </c>
      <c r="D301" t="inlineStr">
        <is>
          <t>ÖREBRO LÄN</t>
        </is>
      </c>
      <c r="E301" t="inlineStr">
        <is>
          <t>ÖREBRO</t>
        </is>
      </c>
      <c r="G301" t="n">
        <v>12.7</v>
      </c>
      <c r="H301" t="n">
        <v>0</v>
      </c>
      <c r="I301" t="n">
        <v>0</v>
      </c>
      <c r="J301" t="n">
        <v>0</v>
      </c>
      <c r="K301" t="n">
        <v>0</v>
      </c>
      <c r="L301" t="n">
        <v>0</v>
      </c>
      <c r="M301" t="n">
        <v>0</v>
      </c>
      <c r="N301" t="n">
        <v>0</v>
      </c>
      <c r="O301" t="n">
        <v>0</v>
      </c>
      <c r="P301" t="n">
        <v>0</v>
      </c>
      <c r="Q301" t="n">
        <v>0</v>
      </c>
      <c r="R301" s="2" t="inlineStr"/>
    </row>
    <row r="302" ht="15" customHeight="1">
      <c r="A302" t="inlineStr">
        <is>
          <t>A 53003-2020</t>
        </is>
      </c>
      <c r="B302" s="1" t="n">
        <v>44119</v>
      </c>
      <c r="C302" s="1" t="n">
        <v>45513</v>
      </c>
      <c r="D302" t="inlineStr">
        <is>
          <t>ÖREBRO LÄN</t>
        </is>
      </c>
      <c r="E302" t="inlineStr">
        <is>
          <t>ÖREBRO</t>
        </is>
      </c>
      <c r="G302" t="n">
        <v>4.7</v>
      </c>
      <c r="H302" t="n">
        <v>0</v>
      </c>
      <c r="I302" t="n">
        <v>0</v>
      </c>
      <c r="J302" t="n">
        <v>0</v>
      </c>
      <c r="K302" t="n">
        <v>0</v>
      </c>
      <c r="L302" t="n">
        <v>0</v>
      </c>
      <c r="M302" t="n">
        <v>0</v>
      </c>
      <c r="N302" t="n">
        <v>0</v>
      </c>
      <c r="O302" t="n">
        <v>0</v>
      </c>
      <c r="P302" t="n">
        <v>0</v>
      </c>
      <c r="Q302" t="n">
        <v>0</v>
      </c>
      <c r="R302" s="2" t="inlineStr"/>
    </row>
    <row r="303" ht="15" customHeight="1">
      <c r="A303" t="inlineStr">
        <is>
          <t>A 54288-2020</t>
        </is>
      </c>
      <c r="B303" s="1" t="n">
        <v>44124</v>
      </c>
      <c r="C303" s="1" t="n">
        <v>45513</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54526-2020</t>
        </is>
      </c>
      <c r="B304" s="1" t="n">
        <v>44125</v>
      </c>
      <c r="C304" s="1" t="n">
        <v>45513</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55570-2020</t>
        </is>
      </c>
      <c r="B305" s="1" t="n">
        <v>44131</v>
      </c>
      <c r="C305" s="1" t="n">
        <v>45513</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56138-2020</t>
        </is>
      </c>
      <c r="B306" s="1" t="n">
        <v>44133</v>
      </c>
      <c r="C306" s="1" t="n">
        <v>45513</v>
      </c>
      <c r="D306" t="inlineStr">
        <is>
          <t>ÖREBRO LÄN</t>
        </is>
      </c>
      <c r="E306" t="inlineStr">
        <is>
          <t>ÖREBRO</t>
        </is>
      </c>
      <c r="F306" t="inlineStr">
        <is>
          <t>Allmännings- och besparingsskogar</t>
        </is>
      </c>
      <c r="G306" t="n">
        <v>4.9</v>
      </c>
      <c r="H306" t="n">
        <v>0</v>
      </c>
      <c r="I306" t="n">
        <v>0</v>
      </c>
      <c r="J306" t="n">
        <v>0</v>
      </c>
      <c r="K306" t="n">
        <v>0</v>
      </c>
      <c r="L306" t="n">
        <v>0</v>
      </c>
      <c r="M306" t="n">
        <v>0</v>
      </c>
      <c r="N306" t="n">
        <v>0</v>
      </c>
      <c r="O306" t="n">
        <v>0</v>
      </c>
      <c r="P306" t="n">
        <v>0</v>
      </c>
      <c r="Q306" t="n">
        <v>0</v>
      </c>
      <c r="R306" s="2" t="inlineStr"/>
    </row>
    <row r="307" ht="15" customHeight="1">
      <c r="A307" t="inlineStr">
        <is>
          <t>A 57241-2020</t>
        </is>
      </c>
      <c r="B307" s="1" t="n">
        <v>44139</v>
      </c>
      <c r="C307" s="1" t="n">
        <v>45513</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58633-2020</t>
        </is>
      </c>
      <c r="B308" s="1" t="n">
        <v>44145</v>
      </c>
      <c r="C308" s="1" t="n">
        <v>45513</v>
      </c>
      <c r="D308" t="inlineStr">
        <is>
          <t>ÖREBRO LÄN</t>
        </is>
      </c>
      <c r="E308" t="inlineStr">
        <is>
          <t>ÖREBRO</t>
        </is>
      </c>
      <c r="G308" t="n">
        <v>1.4</v>
      </c>
      <c r="H308" t="n">
        <v>0</v>
      </c>
      <c r="I308" t="n">
        <v>0</v>
      </c>
      <c r="J308" t="n">
        <v>0</v>
      </c>
      <c r="K308" t="n">
        <v>0</v>
      </c>
      <c r="L308" t="n">
        <v>0</v>
      </c>
      <c r="M308" t="n">
        <v>0</v>
      </c>
      <c r="N308" t="n">
        <v>0</v>
      </c>
      <c r="O308" t="n">
        <v>0</v>
      </c>
      <c r="P308" t="n">
        <v>0</v>
      </c>
      <c r="Q308" t="n">
        <v>0</v>
      </c>
      <c r="R308" s="2" t="inlineStr"/>
    </row>
    <row r="309" ht="15" customHeight="1">
      <c r="A309" t="inlineStr">
        <is>
          <t>A 59265-2020</t>
        </is>
      </c>
      <c r="B309" s="1" t="n">
        <v>44147</v>
      </c>
      <c r="C309" s="1" t="n">
        <v>45513</v>
      </c>
      <c r="D309" t="inlineStr">
        <is>
          <t>ÖREBRO LÄN</t>
        </is>
      </c>
      <c r="E309" t="inlineStr">
        <is>
          <t>ÖREBRO</t>
        </is>
      </c>
      <c r="G309" t="n">
        <v>2.4</v>
      </c>
      <c r="H309" t="n">
        <v>0</v>
      </c>
      <c r="I309" t="n">
        <v>0</v>
      </c>
      <c r="J309" t="n">
        <v>0</v>
      </c>
      <c r="K309" t="n">
        <v>0</v>
      </c>
      <c r="L309" t="n">
        <v>0</v>
      </c>
      <c r="M309" t="n">
        <v>0</v>
      </c>
      <c r="N309" t="n">
        <v>0</v>
      </c>
      <c r="O309" t="n">
        <v>0</v>
      </c>
      <c r="P309" t="n">
        <v>0</v>
      </c>
      <c r="Q309" t="n">
        <v>0</v>
      </c>
      <c r="R309" s="2" t="inlineStr"/>
    </row>
    <row r="310" ht="15" customHeight="1">
      <c r="A310" t="inlineStr">
        <is>
          <t>A 60311-2020</t>
        </is>
      </c>
      <c r="B310" s="1" t="n">
        <v>44151</v>
      </c>
      <c r="C310" s="1" t="n">
        <v>45513</v>
      </c>
      <c r="D310" t="inlineStr">
        <is>
          <t>ÖREBRO LÄN</t>
        </is>
      </c>
      <c r="E310" t="inlineStr">
        <is>
          <t>ÖREBRO</t>
        </is>
      </c>
      <c r="F310" t="inlineStr">
        <is>
          <t>Kommuner</t>
        </is>
      </c>
      <c r="G310" t="n">
        <v>0.8</v>
      </c>
      <c r="H310" t="n">
        <v>0</v>
      </c>
      <c r="I310" t="n">
        <v>0</v>
      </c>
      <c r="J310" t="n">
        <v>0</v>
      </c>
      <c r="K310" t="n">
        <v>0</v>
      </c>
      <c r="L310" t="n">
        <v>0</v>
      </c>
      <c r="M310" t="n">
        <v>0</v>
      </c>
      <c r="N310" t="n">
        <v>0</v>
      </c>
      <c r="O310" t="n">
        <v>0</v>
      </c>
      <c r="P310" t="n">
        <v>0</v>
      </c>
      <c r="Q310" t="n">
        <v>0</v>
      </c>
      <c r="R310" s="2" t="inlineStr"/>
    </row>
    <row r="311" ht="15" customHeight="1">
      <c r="A311" t="inlineStr">
        <is>
          <t>A 60150-2020</t>
        </is>
      </c>
      <c r="B311" s="1" t="n">
        <v>44152</v>
      </c>
      <c r="C311" s="1" t="n">
        <v>45513</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61965-2020</t>
        </is>
      </c>
      <c r="B312" s="1" t="n">
        <v>44155</v>
      </c>
      <c r="C312" s="1" t="n">
        <v>45513</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62651-2020</t>
        </is>
      </c>
      <c r="B313" s="1" t="n">
        <v>44161</v>
      </c>
      <c r="C313" s="1" t="n">
        <v>45513</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63013-2020</t>
        </is>
      </c>
      <c r="B314" s="1" t="n">
        <v>44162</v>
      </c>
      <c r="C314" s="1" t="n">
        <v>45513</v>
      </c>
      <c r="D314" t="inlineStr">
        <is>
          <t>ÖREBRO LÄN</t>
        </is>
      </c>
      <c r="E314" t="inlineStr">
        <is>
          <t>ÖREBRO</t>
        </is>
      </c>
      <c r="F314" t="inlineStr">
        <is>
          <t>Övriga Aktiebolag</t>
        </is>
      </c>
      <c r="G314" t="n">
        <v>6.9</v>
      </c>
      <c r="H314" t="n">
        <v>0</v>
      </c>
      <c r="I314" t="n">
        <v>0</v>
      </c>
      <c r="J314" t="n">
        <v>0</v>
      </c>
      <c r="K314" t="n">
        <v>0</v>
      </c>
      <c r="L314" t="n">
        <v>0</v>
      </c>
      <c r="M314" t="n">
        <v>0</v>
      </c>
      <c r="N314" t="n">
        <v>0</v>
      </c>
      <c r="O314" t="n">
        <v>0</v>
      </c>
      <c r="P314" t="n">
        <v>0</v>
      </c>
      <c r="Q314" t="n">
        <v>0</v>
      </c>
      <c r="R314" s="2" t="inlineStr"/>
    </row>
    <row r="315" ht="15" customHeight="1">
      <c r="A315" t="inlineStr">
        <is>
          <t>A 63074-2020</t>
        </is>
      </c>
      <c r="B315" s="1" t="n">
        <v>44162</v>
      </c>
      <c r="C315" s="1" t="n">
        <v>45513</v>
      </c>
      <c r="D315" t="inlineStr">
        <is>
          <t>ÖREBRO LÄN</t>
        </is>
      </c>
      <c r="E315" t="inlineStr">
        <is>
          <t>ÖREBRO</t>
        </is>
      </c>
      <c r="F315" t="inlineStr">
        <is>
          <t>Övriga Aktiebolag</t>
        </is>
      </c>
      <c r="G315" t="n">
        <v>6.8</v>
      </c>
      <c r="H315" t="n">
        <v>0</v>
      </c>
      <c r="I315" t="n">
        <v>0</v>
      </c>
      <c r="J315" t="n">
        <v>0</v>
      </c>
      <c r="K315" t="n">
        <v>0</v>
      </c>
      <c r="L315" t="n">
        <v>0</v>
      </c>
      <c r="M315" t="n">
        <v>0</v>
      </c>
      <c r="N315" t="n">
        <v>0</v>
      </c>
      <c r="O315" t="n">
        <v>0</v>
      </c>
      <c r="P315" t="n">
        <v>0</v>
      </c>
      <c r="Q315" t="n">
        <v>0</v>
      </c>
      <c r="R315" s="2" t="inlineStr"/>
    </row>
    <row r="316" ht="15" customHeight="1">
      <c r="A316" t="inlineStr">
        <is>
          <t>A 63016-2020</t>
        </is>
      </c>
      <c r="B316" s="1" t="n">
        <v>44162</v>
      </c>
      <c r="C316" s="1" t="n">
        <v>45513</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64597-2020</t>
        </is>
      </c>
      <c r="B317" s="1" t="n">
        <v>44166</v>
      </c>
      <c r="C317" s="1" t="n">
        <v>45513</v>
      </c>
      <c r="D317" t="inlineStr">
        <is>
          <t>ÖREBRO LÄN</t>
        </is>
      </c>
      <c r="E317" t="inlineStr">
        <is>
          <t>ÖREBRO</t>
        </is>
      </c>
      <c r="G317" t="n">
        <v>2.6</v>
      </c>
      <c r="H317" t="n">
        <v>0</v>
      </c>
      <c r="I317" t="n">
        <v>0</v>
      </c>
      <c r="J317" t="n">
        <v>0</v>
      </c>
      <c r="K317" t="n">
        <v>0</v>
      </c>
      <c r="L317" t="n">
        <v>0</v>
      </c>
      <c r="M317" t="n">
        <v>0</v>
      </c>
      <c r="N317" t="n">
        <v>0</v>
      </c>
      <c r="O317" t="n">
        <v>0</v>
      </c>
      <c r="P317" t="n">
        <v>0</v>
      </c>
      <c r="Q317" t="n">
        <v>0</v>
      </c>
      <c r="R317" s="2" t="inlineStr"/>
    </row>
    <row r="318" ht="15" customHeight="1">
      <c r="A318" t="inlineStr">
        <is>
          <t>A 65592-2020</t>
        </is>
      </c>
      <c r="B318" s="1" t="n">
        <v>44173</v>
      </c>
      <c r="C318" s="1" t="n">
        <v>45513</v>
      </c>
      <c r="D318" t="inlineStr">
        <is>
          <t>ÖREBRO LÄN</t>
        </is>
      </c>
      <c r="E318" t="inlineStr">
        <is>
          <t>ÖREBRO</t>
        </is>
      </c>
      <c r="G318" t="n">
        <v>8.9</v>
      </c>
      <c r="H318" t="n">
        <v>0</v>
      </c>
      <c r="I318" t="n">
        <v>0</v>
      </c>
      <c r="J318" t="n">
        <v>0</v>
      </c>
      <c r="K318" t="n">
        <v>0</v>
      </c>
      <c r="L318" t="n">
        <v>0</v>
      </c>
      <c r="M318" t="n">
        <v>0</v>
      </c>
      <c r="N318" t="n">
        <v>0</v>
      </c>
      <c r="O318" t="n">
        <v>0</v>
      </c>
      <c r="P318" t="n">
        <v>0</v>
      </c>
      <c r="Q318" t="n">
        <v>0</v>
      </c>
      <c r="R318" s="2" t="inlineStr"/>
    </row>
    <row r="319" ht="15" customHeight="1">
      <c r="A319" t="inlineStr">
        <is>
          <t>A 66799-2020</t>
        </is>
      </c>
      <c r="B319" s="1" t="n">
        <v>44179</v>
      </c>
      <c r="C319" s="1" t="n">
        <v>45513</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67627-2020</t>
        </is>
      </c>
      <c r="B320" s="1" t="n">
        <v>44182</v>
      </c>
      <c r="C320" s="1" t="n">
        <v>45513</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69328-2020</t>
        </is>
      </c>
      <c r="B321" s="1" t="n">
        <v>44188</v>
      </c>
      <c r="C321" s="1" t="n">
        <v>45513</v>
      </c>
      <c r="D321" t="inlineStr">
        <is>
          <t>ÖREBRO LÄN</t>
        </is>
      </c>
      <c r="E321" t="inlineStr">
        <is>
          <t>ÖREBRO</t>
        </is>
      </c>
      <c r="G321" t="n">
        <v>1</v>
      </c>
      <c r="H321" t="n">
        <v>0</v>
      </c>
      <c r="I321" t="n">
        <v>0</v>
      </c>
      <c r="J321" t="n">
        <v>0</v>
      </c>
      <c r="K321" t="n">
        <v>0</v>
      </c>
      <c r="L321" t="n">
        <v>0</v>
      </c>
      <c r="M321" t="n">
        <v>0</v>
      </c>
      <c r="N321" t="n">
        <v>0</v>
      </c>
      <c r="O321" t="n">
        <v>0</v>
      </c>
      <c r="P321" t="n">
        <v>0</v>
      </c>
      <c r="Q321" t="n">
        <v>0</v>
      </c>
      <c r="R321" s="2" t="inlineStr"/>
    </row>
    <row r="322" ht="15" customHeight="1">
      <c r="A322" t="inlineStr">
        <is>
          <t>A 69613-2020</t>
        </is>
      </c>
      <c r="B322" s="1" t="n">
        <v>44195</v>
      </c>
      <c r="C322" s="1" t="n">
        <v>45513</v>
      </c>
      <c r="D322" t="inlineStr">
        <is>
          <t>ÖREBRO LÄN</t>
        </is>
      </c>
      <c r="E322" t="inlineStr">
        <is>
          <t>ÖREBRO</t>
        </is>
      </c>
      <c r="G322" t="n">
        <v>4.7</v>
      </c>
      <c r="H322" t="n">
        <v>0</v>
      </c>
      <c r="I322" t="n">
        <v>0</v>
      </c>
      <c r="J322" t="n">
        <v>0</v>
      </c>
      <c r="K322" t="n">
        <v>0</v>
      </c>
      <c r="L322" t="n">
        <v>0</v>
      </c>
      <c r="M322" t="n">
        <v>0</v>
      </c>
      <c r="N322" t="n">
        <v>0</v>
      </c>
      <c r="O322" t="n">
        <v>0</v>
      </c>
      <c r="P322" t="n">
        <v>0</v>
      </c>
      <c r="Q322" t="n">
        <v>0</v>
      </c>
      <c r="R322" s="2" t="inlineStr"/>
    </row>
    <row r="323" ht="15" customHeight="1">
      <c r="A323" t="inlineStr">
        <is>
          <t>A 3087-2021</t>
        </is>
      </c>
      <c r="B323" s="1" t="n">
        <v>44216</v>
      </c>
      <c r="C323" s="1" t="n">
        <v>45513</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3078-2021</t>
        </is>
      </c>
      <c r="B324" s="1" t="n">
        <v>44216</v>
      </c>
      <c r="C324" s="1" t="n">
        <v>45513</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3085-2021</t>
        </is>
      </c>
      <c r="B325" s="1" t="n">
        <v>44216</v>
      </c>
      <c r="C325" s="1" t="n">
        <v>45513</v>
      </c>
      <c r="D325" t="inlineStr">
        <is>
          <t>ÖREBRO LÄN</t>
        </is>
      </c>
      <c r="E325" t="inlineStr">
        <is>
          <t>ÖREBRO</t>
        </is>
      </c>
      <c r="G325" t="n">
        <v>2.9</v>
      </c>
      <c r="H325" t="n">
        <v>0</v>
      </c>
      <c r="I325" t="n">
        <v>0</v>
      </c>
      <c r="J325" t="n">
        <v>0</v>
      </c>
      <c r="K325" t="n">
        <v>0</v>
      </c>
      <c r="L325" t="n">
        <v>0</v>
      </c>
      <c r="M325" t="n">
        <v>0</v>
      </c>
      <c r="N325" t="n">
        <v>0</v>
      </c>
      <c r="O325" t="n">
        <v>0</v>
      </c>
      <c r="P325" t="n">
        <v>0</v>
      </c>
      <c r="Q325" t="n">
        <v>0</v>
      </c>
      <c r="R325" s="2" t="inlineStr"/>
    </row>
    <row r="326" ht="15" customHeight="1">
      <c r="A326" t="inlineStr">
        <is>
          <t>A 3081-2021</t>
        </is>
      </c>
      <c r="B326" s="1" t="n">
        <v>44216</v>
      </c>
      <c r="C326" s="1" t="n">
        <v>45513</v>
      </c>
      <c r="D326" t="inlineStr">
        <is>
          <t>ÖREBRO LÄN</t>
        </is>
      </c>
      <c r="E326" t="inlineStr">
        <is>
          <t>ÖREBRO</t>
        </is>
      </c>
      <c r="G326" t="n">
        <v>4.2</v>
      </c>
      <c r="H326" t="n">
        <v>0</v>
      </c>
      <c r="I326" t="n">
        <v>0</v>
      </c>
      <c r="J326" t="n">
        <v>0</v>
      </c>
      <c r="K326" t="n">
        <v>0</v>
      </c>
      <c r="L326" t="n">
        <v>0</v>
      </c>
      <c r="M326" t="n">
        <v>0</v>
      </c>
      <c r="N326" t="n">
        <v>0</v>
      </c>
      <c r="O326" t="n">
        <v>0</v>
      </c>
      <c r="P326" t="n">
        <v>0</v>
      </c>
      <c r="Q326" t="n">
        <v>0</v>
      </c>
      <c r="R326" s="2" t="inlineStr"/>
    </row>
    <row r="327" ht="15" customHeight="1">
      <c r="A327" t="inlineStr">
        <is>
          <t>A 4021-2021</t>
        </is>
      </c>
      <c r="B327" s="1" t="n">
        <v>44218</v>
      </c>
      <c r="C327" s="1" t="n">
        <v>45513</v>
      </c>
      <c r="D327" t="inlineStr">
        <is>
          <t>ÖREBRO LÄN</t>
        </is>
      </c>
      <c r="E327" t="inlineStr">
        <is>
          <t>ÖREBRO</t>
        </is>
      </c>
      <c r="G327" t="n">
        <v>5.3</v>
      </c>
      <c r="H327" t="n">
        <v>0</v>
      </c>
      <c r="I327" t="n">
        <v>0</v>
      </c>
      <c r="J327" t="n">
        <v>0</v>
      </c>
      <c r="K327" t="n">
        <v>0</v>
      </c>
      <c r="L327" t="n">
        <v>0</v>
      </c>
      <c r="M327" t="n">
        <v>0</v>
      </c>
      <c r="N327" t="n">
        <v>0</v>
      </c>
      <c r="O327" t="n">
        <v>0</v>
      </c>
      <c r="P327" t="n">
        <v>0</v>
      </c>
      <c r="Q327" t="n">
        <v>0</v>
      </c>
      <c r="R327" s="2" t="inlineStr"/>
    </row>
    <row r="328" ht="15" customHeight="1">
      <c r="A328" t="inlineStr">
        <is>
          <t>A 5708-2021</t>
        </is>
      </c>
      <c r="B328" s="1" t="n">
        <v>44230</v>
      </c>
      <c r="C328" s="1" t="n">
        <v>45513</v>
      </c>
      <c r="D328" t="inlineStr">
        <is>
          <t>ÖREBRO LÄN</t>
        </is>
      </c>
      <c r="E328" t="inlineStr">
        <is>
          <t>ÖREBRO</t>
        </is>
      </c>
      <c r="G328" t="n">
        <v>1.3</v>
      </c>
      <c r="H328" t="n">
        <v>0</v>
      </c>
      <c r="I328" t="n">
        <v>0</v>
      </c>
      <c r="J328" t="n">
        <v>0</v>
      </c>
      <c r="K328" t="n">
        <v>0</v>
      </c>
      <c r="L328" t="n">
        <v>0</v>
      </c>
      <c r="M328" t="n">
        <v>0</v>
      </c>
      <c r="N328" t="n">
        <v>0</v>
      </c>
      <c r="O328" t="n">
        <v>0</v>
      </c>
      <c r="P328" t="n">
        <v>0</v>
      </c>
      <c r="Q328" t="n">
        <v>0</v>
      </c>
      <c r="R328" s="2" t="inlineStr"/>
    </row>
    <row r="329" ht="15" customHeight="1">
      <c r="A329" t="inlineStr">
        <is>
          <t>A 5946-2021</t>
        </is>
      </c>
      <c r="B329" s="1" t="n">
        <v>44230</v>
      </c>
      <c r="C329" s="1" t="n">
        <v>45513</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6213-2021</t>
        </is>
      </c>
      <c r="B330" s="1" t="n">
        <v>44232</v>
      </c>
      <c r="C330" s="1" t="n">
        <v>45513</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6212-2021</t>
        </is>
      </c>
      <c r="B331" s="1" t="n">
        <v>44232</v>
      </c>
      <c r="C331" s="1" t="n">
        <v>45513</v>
      </c>
      <c r="D331" t="inlineStr">
        <is>
          <t>ÖREBRO LÄN</t>
        </is>
      </c>
      <c r="E331" t="inlineStr">
        <is>
          <t>ÖREBRO</t>
        </is>
      </c>
      <c r="G331" t="n">
        <v>4.1</v>
      </c>
      <c r="H331" t="n">
        <v>0</v>
      </c>
      <c r="I331" t="n">
        <v>0</v>
      </c>
      <c r="J331" t="n">
        <v>0</v>
      </c>
      <c r="K331" t="n">
        <v>0</v>
      </c>
      <c r="L331" t="n">
        <v>0</v>
      </c>
      <c r="M331" t="n">
        <v>0</v>
      </c>
      <c r="N331" t="n">
        <v>0</v>
      </c>
      <c r="O331" t="n">
        <v>0</v>
      </c>
      <c r="P331" t="n">
        <v>0</v>
      </c>
      <c r="Q331" t="n">
        <v>0</v>
      </c>
      <c r="R331" s="2" t="inlineStr"/>
    </row>
    <row r="332" ht="15" customHeight="1">
      <c r="A332" t="inlineStr">
        <is>
          <t>A 6387-2021</t>
        </is>
      </c>
      <c r="B332" s="1" t="n">
        <v>44235</v>
      </c>
      <c r="C332" s="1" t="n">
        <v>45513</v>
      </c>
      <c r="D332" t="inlineStr">
        <is>
          <t>ÖREBRO LÄN</t>
        </is>
      </c>
      <c r="E332" t="inlineStr">
        <is>
          <t>ÖREBRO</t>
        </is>
      </c>
      <c r="G332" t="n">
        <v>1.1</v>
      </c>
      <c r="H332" t="n">
        <v>0</v>
      </c>
      <c r="I332" t="n">
        <v>0</v>
      </c>
      <c r="J332" t="n">
        <v>0</v>
      </c>
      <c r="K332" t="n">
        <v>0</v>
      </c>
      <c r="L332" t="n">
        <v>0</v>
      </c>
      <c r="M332" t="n">
        <v>0</v>
      </c>
      <c r="N332" t="n">
        <v>0</v>
      </c>
      <c r="O332" t="n">
        <v>0</v>
      </c>
      <c r="P332" t="n">
        <v>0</v>
      </c>
      <c r="Q332" t="n">
        <v>0</v>
      </c>
      <c r="R332" s="2" t="inlineStr"/>
    </row>
    <row r="333" ht="15" customHeight="1">
      <c r="A333" t="inlineStr">
        <is>
          <t>A 7117-2021</t>
        </is>
      </c>
      <c r="B333" s="1" t="n">
        <v>44238</v>
      </c>
      <c r="C333" s="1" t="n">
        <v>45513</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8263-2021</t>
        </is>
      </c>
      <c r="B334" s="1" t="n">
        <v>44244</v>
      </c>
      <c r="C334" s="1" t="n">
        <v>45513</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8331-2021</t>
        </is>
      </c>
      <c r="B335" s="1" t="n">
        <v>44244</v>
      </c>
      <c r="C335" s="1" t="n">
        <v>45513</v>
      </c>
      <c r="D335" t="inlineStr">
        <is>
          <t>ÖREBRO LÄN</t>
        </is>
      </c>
      <c r="E335" t="inlineStr">
        <is>
          <t>ÖREBRO</t>
        </is>
      </c>
      <c r="G335" t="n">
        <v>9.1</v>
      </c>
      <c r="H335" t="n">
        <v>0</v>
      </c>
      <c r="I335" t="n">
        <v>0</v>
      </c>
      <c r="J335" t="n">
        <v>0</v>
      </c>
      <c r="K335" t="n">
        <v>0</v>
      </c>
      <c r="L335" t="n">
        <v>0</v>
      </c>
      <c r="M335" t="n">
        <v>0</v>
      </c>
      <c r="N335" t="n">
        <v>0</v>
      </c>
      <c r="O335" t="n">
        <v>0</v>
      </c>
      <c r="P335" t="n">
        <v>0</v>
      </c>
      <c r="Q335" t="n">
        <v>0</v>
      </c>
      <c r="R335" s="2" t="inlineStr"/>
    </row>
    <row r="336" ht="15" customHeight="1">
      <c r="A336" t="inlineStr">
        <is>
          <t>A 8375-2021</t>
        </is>
      </c>
      <c r="B336" s="1" t="n">
        <v>44244</v>
      </c>
      <c r="C336" s="1" t="n">
        <v>45513</v>
      </c>
      <c r="D336" t="inlineStr">
        <is>
          <t>ÖREBRO LÄN</t>
        </is>
      </c>
      <c r="E336" t="inlineStr">
        <is>
          <t>ÖREBRO</t>
        </is>
      </c>
      <c r="G336" t="n">
        <v>0.8</v>
      </c>
      <c r="H336" t="n">
        <v>0</v>
      </c>
      <c r="I336" t="n">
        <v>0</v>
      </c>
      <c r="J336" t="n">
        <v>0</v>
      </c>
      <c r="K336" t="n">
        <v>0</v>
      </c>
      <c r="L336" t="n">
        <v>0</v>
      </c>
      <c r="M336" t="n">
        <v>0</v>
      </c>
      <c r="N336" t="n">
        <v>0</v>
      </c>
      <c r="O336" t="n">
        <v>0</v>
      </c>
      <c r="P336" t="n">
        <v>0</v>
      </c>
      <c r="Q336" t="n">
        <v>0</v>
      </c>
      <c r="R336" s="2" t="inlineStr"/>
    </row>
    <row r="337" ht="15" customHeight="1">
      <c r="A337" t="inlineStr">
        <is>
          <t>A 8332-2021</t>
        </is>
      </c>
      <c r="B337" s="1" t="n">
        <v>44244</v>
      </c>
      <c r="C337" s="1" t="n">
        <v>45513</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8374-2021</t>
        </is>
      </c>
      <c r="B338" s="1" t="n">
        <v>44244</v>
      </c>
      <c r="C338" s="1" t="n">
        <v>45513</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8543-2021</t>
        </is>
      </c>
      <c r="B339" s="1" t="n">
        <v>44245</v>
      </c>
      <c r="C339" s="1" t="n">
        <v>45513</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8565-2021</t>
        </is>
      </c>
      <c r="B340" s="1" t="n">
        <v>44245</v>
      </c>
      <c r="C340" s="1" t="n">
        <v>45513</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8571-2021</t>
        </is>
      </c>
      <c r="B341" s="1" t="n">
        <v>44245</v>
      </c>
      <c r="C341" s="1" t="n">
        <v>45513</v>
      </c>
      <c r="D341" t="inlineStr">
        <is>
          <t>ÖREBRO LÄN</t>
        </is>
      </c>
      <c r="E341" t="inlineStr">
        <is>
          <t>ÖREBRO</t>
        </is>
      </c>
      <c r="G341" t="n">
        <v>0.9</v>
      </c>
      <c r="H341" t="n">
        <v>0</v>
      </c>
      <c r="I341" t="n">
        <v>0</v>
      </c>
      <c r="J341" t="n">
        <v>0</v>
      </c>
      <c r="K341" t="n">
        <v>0</v>
      </c>
      <c r="L341" t="n">
        <v>0</v>
      </c>
      <c r="M341" t="n">
        <v>0</v>
      </c>
      <c r="N341" t="n">
        <v>0</v>
      </c>
      <c r="O341" t="n">
        <v>0</v>
      </c>
      <c r="P341" t="n">
        <v>0</v>
      </c>
      <c r="Q341" t="n">
        <v>0</v>
      </c>
      <c r="R341" s="2" t="inlineStr"/>
    </row>
    <row r="342" ht="15" customHeight="1">
      <c r="A342" t="inlineStr">
        <is>
          <t>A 8568-2021</t>
        </is>
      </c>
      <c r="B342" s="1" t="n">
        <v>44245</v>
      </c>
      <c r="C342" s="1" t="n">
        <v>45513</v>
      </c>
      <c r="D342" t="inlineStr">
        <is>
          <t>ÖREBRO LÄN</t>
        </is>
      </c>
      <c r="E342" t="inlineStr">
        <is>
          <t>ÖREBRO</t>
        </is>
      </c>
      <c r="G342" t="n">
        <v>4.8</v>
      </c>
      <c r="H342" t="n">
        <v>0</v>
      </c>
      <c r="I342" t="n">
        <v>0</v>
      </c>
      <c r="J342" t="n">
        <v>0</v>
      </c>
      <c r="K342" t="n">
        <v>0</v>
      </c>
      <c r="L342" t="n">
        <v>0</v>
      </c>
      <c r="M342" t="n">
        <v>0</v>
      </c>
      <c r="N342" t="n">
        <v>0</v>
      </c>
      <c r="O342" t="n">
        <v>0</v>
      </c>
      <c r="P342" t="n">
        <v>0</v>
      </c>
      <c r="Q342" t="n">
        <v>0</v>
      </c>
      <c r="R342" s="2" t="inlineStr"/>
    </row>
    <row r="343" ht="15" customHeight="1">
      <c r="A343" t="inlineStr">
        <is>
          <t>A 8575-2021</t>
        </is>
      </c>
      <c r="B343" s="1" t="n">
        <v>44245</v>
      </c>
      <c r="C343" s="1" t="n">
        <v>45513</v>
      </c>
      <c r="D343" t="inlineStr">
        <is>
          <t>ÖREBRO LÄN</t>
        </is>
      </c>
      <c r="E343" t="inlineStr">
        <is>
          <t>ÖREBRO</t>
        </is>
      </c>
      <c r="G343" t="n">
        <v>3.4</v>
      </c>
      <c r="H343" t="n">
        <v>0</v>
      </c>
      <c r="I343" t="n">
        <v>0</v>
      </c>
      <c r="J343" t="n">
        <v>0</v>
      </c>
      <c r="K343" t="n">
        <v>0</v>
      </c>
      <c r="L343" t="n">
        <v>0</v>
      </c>
      <c r="M343" t="n">
        <v>0</v>
      </c>
      <c r="N343" t="n">
        <v>0</v>
      </c>
      <c r="O343" t="n">
        <v>0</v>
      </c>
      <c r="P343" t="n">
        <v>0</v>
      </c>
      <c r="Q343" t="n">
        <v>0</v>
      </c>
      <c r="R343" s="2" t="inlineStr"/>
    </row>
    <row r="344" ht="15" customHeight="1">
      <c r="A344" t="inlineStr">
        <is>
          <t>A 9406-2021</t>
        </is>
      </c>
      <c r="B344" s="1" t="n">
        <v>44251</v>
      </c>
      <c r="C344" s="1" t="n">
        <v>45513</v>
      </c>
      <c r="D344" t="inlineStr">
        <is>
          <t>ÖREBRO LÄN</t>
        </is>
      </c>
      <c r="E344" t="inlineStr">
        <is>
          <t>ÖREBRO</t>
        </is>
      </c>
      <c r="G344" t="n">
        <v>6.1</v>
      </c>
      <c r="H344" t="n">
        <v>0</v>
      </c>
      <c r="I344" t="n">
        <v>0</v>
      </c>
      <c r="J344" t="n">
        <v>0</v>
      </c>
      <c r="K344" t="n">
        <v>0</v>
      </c>
      <c r="L344" t="n">
        <v>0</v>
      </c>
      <c r="M344" t="n">
        <v>0</v>
      </c>
      <c r="N344" t="n">
        <v>0</v>
      </c>
      <c r="O344" t="n">
        <v>0</v>
      </c>
      <c r="P344" t="n">
        <v>0</v>
      </c>
      <c r="Q344" t="n">
        <v>0</v>
      </c>
      <c r="R344" s="2" t="inlineStr"/>
    </row>
    <row r="345" ht="15" customHeight="1">
      <c r="A345" t="inlineStr">
        <is>
          <t>A 10368-2021</t>
        </is>
      </c>
      <c r="B345" s="1" t="n">
        <v>44257</v>
      </c>
      <c r="C345" s="1" t="n">
        <v>45513</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12433-2021</t>
        </is>
      </c>
      <c r="B346" s="1" t="n">
        <v>44267</v>
      </c>
      <c r="C346" s="1" t="n">
        <v>45513</v>
      </c>
      <c r="D346" t="inlineStr">
        <is>
          <t>ÖREBRO LÄN</t>
        </is>
      </c>
      <c r="E346" t="inlineStr">
        <is>
          <t>ÖREBRO</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12871-2021</t>
        </is>
      </c>
      <c r="B347" s="1" t="n">
        <v>44271</v>
      </c>
      <c r="C347" s="1" t="n">
        <v>45513</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13193-2021</t>
        </is>
      </c>
      <c r="B348" s="1" t="n">
        <v>44272</v>
      </c>
      <c r="C348" s="1" t="n">
        <v>45513</v>
      </c>
      <c r="D348" t="inlineStr">
        <is>
          <t>ÖREBRO LÄN</t>
        </is>
      </c>
      <c r="E348" t="inlineStr">
        <is>
          <t>ÖREBRO</t>
        </is>
      </c>
      <c r="F348" t="inlineStr">
        <is>
          <t>Övriga Aktiebolag</t>
        </is>
      </c>
      <c r="G348" t="n">
        <v>4.1</v>
      </c>
      <c r="H348" t="n">
        <v>0</v>
      </c>
      <c r="I348" t="n">
        <v>0</v>
      </c>
      <c r="J348" t="n">
        <v>0</v>
      </c>
      <c r="K348" t="n">
        <v>0</v>
      </c>
      <c r="L348" t="n">
        <v>0</v>
      </c>
      <c r="M348" t="n">
        <v>0</v>
      </c>
      <c r="N348" t="n">
        <v>0</v>
      </c>
      <c r="O348" t="n">
        <v>0</v>
      </c>
      <c r="P348" t="n">
        <v>0</v>
      </c>
      <c r="Q348" t="n">
        <v>0</v>
      </c>
      <c r="R348" s="2" t="inlineStr"/>
    </row>
    <row r="349" ht="15" customHeight="1">
      <c r="A349" t="inlineStr">
        <is>
          <t>A 13760-2021</t>
        </is>
      </c>
      <c r="B349" s="1" t="n">
        <v>44274</v>
      </c>
      <c r="C349" s="1" t="n">
        <v>45513</v>
      </c>
      <c r="D349" t="inlineStr">
        <is>
          <t>ÖREBRO LÄN</t>
        </is>
      </c>
      <c r="E349" t="inlineStr">
        <is>
          <t>ÖREBRO</t>
        </is>
      </c>
      <c r="G349" t="n">
        <v>2.1</v>
      </c>
      <c r="H349" t="n">
        <v>0</v>
      </c>
      <c r="I349" t="n">
        <v>0</v>
      </c>
      <c r="J349" t="n">
        <v>0</v>
      </c>
      <c r="K349" t="n">
        <v>0</v>
      </c>
      <c r="L349" t="n">
        <v>0</v>
      </c>
      <c r="M349" t="n">
        <v>0</v>
      </c>
      <c r="N349" t="n">
        <v>0</v>
      </c>
      <c r="O349" t="n">
        <v>0</v>
      </c>
      <c r="P349" t="n">
        <v>0</v>
      </c>
      <c r="Q349" t="n">
        <v>0</v>
      </c>
      <c r="R349" s="2" t="inlineStr"/>
    </row>
    <row r="350" ht="15" customHeight="1">
      <c r="A350" t="inlineStr">
        <is>
          <t>A 14064-2021</t>
        </is>
      </c>
      <c r="B350" s="1" t="n">
        <v>44277</v>
      </c>
      <c r="C350" s="1" t="n">
        <v>45513</v>
      </c>
      <c r="D350" t="inlineStr">
        <is>
          <t>ÖREBRO LÄN</t>
        </is>
      </c>
      <c r="E350" t="inlineStr">
        <is>
          <t>ÖREBRO</t>
        </is>
      </c>
      <c r="G350" t="n">
        <v>0.3</v>
      </c>
      <c r="H350" t="n">
        <v>0</v>
      </c>
      <c r="I350" t="n">
        <v>0</v>
      </c>
      <c r="J350" t="n">
        <v>0</v>
      </c>
      <c r="K350" t="n">
        <v>0</v>
      </c>
      <c r="L350" t="n">
        <v>0</v>
      </c>
      <c r="M350" t="n">
        <v>0</v>
      </c>
      <c r="N350" t="n">
        <v>0</v>
      </c>
      <c r="O350" t="n">
        <v>0</v>
      </c>
      <c r="P350" t="n">
        <v>0</v>
      </c>
      <c r="Q350" t="n">
        <v>0</v>
      </c>
      <c r="R350" s="2" t="inlineStr"/>
    </row>
    <row r="351" ht="15" customHeight="1">
      <c r="A351" t="inlineStr">
        <is>
          <t>A 14239-2021</t>
        </is>
      </c>
      <c r="B351" s="1" t="n">
        <v>44278</v>
      </c>
      <c r="C351" s="1" t="n">
        <v>45513</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15574-2021</t>
        </is>
      </c>
      <c r="B352" s="1" t="n">
        <v>44285</v>
      </c>
      <c r="C352" s="1" t="n">
        <v>45513</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15571-2021</t>
        </is>
      </c>
      <c r="B353" s="1" t="n">
        <v>44285</v>
      </c>
      <c r="C353" s="1" t="n">
        <v>45513</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16260-2021</t>
        </is>
      </c>
      <c r="B354" s="1" t="n">
        <v>44292</v>
      </c>
      <c r="C354" s="1" t="n">
        <v>45513</v>
      </c>
      <c r="D354" t="inlineStr">
        <is>
          <t>ÖREBRO LÄN</t>
        </is>
      </c>
      <c r="E354" t="inlineStr">
        <is>
          <t>ÖREBRO</t>
        </is>
      </c>
      <c r="G354" t="n">
        <v>3.2</v>
      </c>
      <c r="H354" t="n">
        <v>0</v>
      </c>
      <c r="I354" t="n">
        <v>0</v>
      </c>
      <c r="J354" t="n">
        <v>0</v>
      </c>
      <c r="K354" t="n">
        <v>0</v>
      </c>
      <c r="L354" t="n">
        <v>0</v>
      </c>
      <c r="M354" t="n">
        <v>0</v>
      </c>
      <c r="N354" t="n">
        <v>0</v>
      </c>
      <c r="O354" t="n">
        <v>0</v>
      </c>
      <c r="P354" t="n">
        <v>0</v>
      </c>
      <c r="Q354" t="n">
        <v>0</v>
      </c>
      <c r="R354" s="2" t="inlineStr"/>
    </row>
    <row r="355" ht="15" customHeight="1">
      <c r="A355" t="inlineStr">
        <is>
          <t>A 16785-2021</t>
        </is>
      </c>
      <c r="B355" s="1" t="n">
        <v>44295</v>
      </c>
      <c r="C355" s="1" t="n">
        <v>45513</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19468-2021</t>
        </is>
      </c>
      <c r="B356" s="1" t="n">
        <v>44311</v>
      </c>
      <c r="C356" s="1" t="n">
        <v>45513</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19803-2021</t>
        </is>
      </c>
      <c r="B357" s="1" t="n">
        <v>44313</v>
      </c>
      <c r="C357" s="1" t="n">
        <v>45513</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19831-2021</t>
        </is>
      </c>
      <c r="B358" s="1" t="n">
        <v>44313</v>
      </c>
      <c r="C358" s="1" t="n">
        <v>45513</v>
      </c>
      <c r="D358" t="inlineStr">
        <is>
          <t>ÖREBRO LÄN</t>
        </is>
      </c>
      <c r="E358" t="inlineStr">
        <is>
          <t>ÖREBRO</t>
        </is>
      </c>
      <c r="G358" t="n">
        <v>10.4</v>
      </c>
      <c r="H358" t="n">
        <v>0</v>
      </c>
      <c r="I358" t="n">
        <v>0</v>
      </c>
      <c r="J358" t="n">
        <v>0</v>
      </c>
      <c r="K358" t="n">
        <v>0</v>
      </c>
      <c r="L358" t="n">
        <v>0</v>
      </c>
      <c r="M358" t="n">
        <v>0</v>
      </c>
      <c r="N358" t="n">
        <v>0</v>
      </c>
      <c r="O358" t="n">
        <v>0</v>
      </c>
      <c r="P358" t="n">
        <v>0</v>
      </c>
      <c r="Q358" t="n">
        <v>0</v>
      </c>
      <c r="R358" s="2" t="inlineStr"/>
    </row>
    <row r="359" ht="15" customHeight="1">
      <c r="A359" t="inlineStr">
        <is>
          <t>A 21983-2021</t>
        </is>
      </c>
      <c r="B359" s="1" t="n">
        <v>44323</v>
      </c>
      <c r="C359" s="1" t="n">
        <v>45513</v>
      </c>
      <c r="D359" t="inlineStr">
        <is>
          <t>ÖREBRO LÄN</t>
        </is>
      </c>
      <c r="E359" t="inlineStr">
        <is>
          <t>ÖREBRO</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23606-2021</t>
        </is>
      </c>
      <c r="B360" s="1" t="n">
        <v>44334</v>
      </c>
      <c r="C360" s="1" t="n">
        <v>45513</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24818-2021</t>
        </is>
      </c>
      <c r="B361" s="1" t="n">
        <v>44340</v>
      </c>
      <c r="C361" s="1" t="n">
        <v>45513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25407-2021</t>
        </is>
      </c>
      <c r="B362" s="1" t="n">
        <v>44342</v>
      </c>
      <c r="C362" s="1" t="n">
        <v>45513</v>
      </c>
      <c r="D362" t="inlineStr">
        <is>
          <t>ÖREBRO LÄN</t>
        </is>
      </c>
      <c r="E362" t="inlineStr">
        <is>
          <t>ÖREBRO</t>
        </is>
      </c>
      <c r="F362" t="inlineStr">
        <is>
          <t>Kommuner</t>
        </is>
      </c>
      <c r="G362" t="n">
        <v>7.2</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45513</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25660-2021</t>
        </is>
      </c>
      <c r="B364" s="1" t="n">
        <v>44343</v>
      </c>
      <c r="C364" s="1" t="n">
        <v>45513</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25778-2021</t>
        </is>
      </c>
      <c r="B365" s="1" t="n">
        <v>44343</v>
      </c>
      <c r="C365" s="1" t="n">
        <v>45513</v>
      </c>
      <c r="D365" t="inlineStr">
        <is>
          <t>ÖREBRO LÄN</t>
        </is>
      </c>
      <c r="E365" t="inlineStr">
        <is>
          <t>ÖREBRO</t>
        </is>
      </c>
      <c r="F365" t="inlineStr">
        <is>
          <t>Övriga Aktiebolag</t>
        </is>
      </c>
      <c r="G365" t="n">
        <v>11.3</v>
      </c>
      <c r="H365" t="n">
        <v>0</v>
      </c>
      <c r="I365" t="n">
        <v>0</v>
      </c>
      <c r="J365" t="n">
        <v>0</v>
      </c>
      <c r="K365" t="n">
        <v>0</v>
      </c>
      <c r="L365" t="n">
        <v>0</v>
      </c>
      <c r="M365" t="n">
        <v>0</v>
      </c>
      <c r="N365" t="n">
        <v>0</v>
      </c>
      <c r="O365" t="n">
        <v>0</v>
      </c>
      <c r="P365" t="n">
        <v>0</v>
      </c>
      <c r="Q365" t="n">
        <v>0</v>
      </c>
      <c r="R365" s="2" t="inlineStr"/>
    </row>
    <row r="366" ht="15" customHeight="1">
      <c r="A366" t="inlineStr">
        <is>
          <t>A 26118-2021</t>
        </is>
      </c>
      <c r="B366" s="1" t="n">
        <v>44345</v>
      </c>
      <c r="C366" s="1" t="n">
        <v>45513</v>
      </c>
      <c r="D366" t="inlineStr">
        <is>
          <t>ÖREBRO LÄN</t>
        </is>
      </c>
      <c r="E366" t="inlineStr">
        <is>
          <t>ÖREBRO</t>
        </is>
      </c>
      <c r="G366" t="n">
        <v>2.2</v>
      </c>
      <c r="H366" t="n">
        <v>0</v>
      </c>
      <c r="I366" t="n">
        <v>0</v>
      </c>
      <c r="J366" t="n">
        <v>0</v>
      </c>
      <c r="K366" t="n">
        <v>0</v>
      </c>
      <c r="L366" t="n">
        <v>0</v>
      </c>
      <c r="M366" t="n">
        <v>0</v>
      </c>
      <c r="N366" t="n">
        <v>0</v>
      </c>
      <c r="O366" t="n">
        <v>0</v>
      </c>
      <c r="P366" t="n">
        <v>0</v>
      </c>
      <c r="Q366" t="n">
        <v>0</v>
      </c>
      <c r="R366" s="2" t="inlineStr"/>
    </row>
    <row r="367" ht="15" customHeight="1">
      <c r="A367" t="inlineStr">
        <is>
          <t>A 26119-2021</t>
        </is>
      </c>
      <c r="B367" s="1" t="n">
        <v>44345</v>
      </c>
      <c r="C367" s="1" t="n">
        <v>45513</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26117-2021</t>
        </is>
      </c>
      <c r="B368" s="1" t="n">
        <v>44345</v>
      </c>
      <c r="C368" s="1" t="n">
        <v>45513</v>
      </c>
      <c r="D368" t="inlineStr">
        <is>
          <t>ÖREBRO LÄN</t>
        </is>
      </c>
      <c r="E368" t="inlineStr">
        <is>
          <t>ÖREBRO</t>
        </is>
      </c>
      <c r="G368" t="n">
        <v>8.1</v>
      </c>
      <c r="H368" t="n">
        <v>0</v>
      </c>
      <c r="I368" t="n">
        <v>0</v>
      </c>
      <c r="J368" t="n">
        <v>0</v>
      </c>
      <c r="K368" t="n">
        <v>0</v>
      </c>
      <c r="L368" t="n">
        <v>0</v>
      </c>
      <c r="M368" t="n">
        <v>0</v>
      </c>
      <c r="N368" t="n">
        <v>0</v>
      </c>
      <c r="O368" t="n">
        <v>0</v>
      </c>
      <c r="P368" t="n">
        <v>0</v>
      </c>
      <c r="Q368" t="n">
        <v>0</v>
      </c>
      <c r="R368" s="2" t="inlineStr"/>
    </row>
    <row r="369" ht="15" customHeight="1">
      <c r="A369" t="inlineStr">
        <is>
          <t>A 26153-2021</t>
        </is>
      </c>
      <c r="B369" s="1" t="n">
        <v>44347</v>
      </c>
      <c r="C369" s="1" t="n">
        <v>45513</v>
      </c>
      <c r="D369" t="inlineStr">
        <is>
          <t>ÖREBRO LÄN</t>
        </is>
      </c>
      <c r="E369" t="inlineStr">
        <is>
          <t>ÖREBRO</t>
        </is>
      </c>
      <c r="G369" t="n">
        <v>1.5</v>
      </c>
      <c r="H369" t="n">
        <v>0</v>
      </c>
      <c r="I369" t="n">
        <v>0</v>
      </c>
      <c r="J369" t="n">
        <v>0</v>
      </c>
      <c r="K369" t="n">
        <v>0</v>
      </c>
      <c r="L369" t="n">
        <v>0</v>
      </c>
      <c r="M369" t="n">
        <v>0</v>
      </c>
      <c r="N369" t="n">
        <v>0</v>
      </c>
      <c r="O369" t="n">
        <v>0</v>
      </c>
      <c r="P369" t="n">
        <v>0</v>
      </c>
      <c r="Q369" t="n">
        <v>0</v>
      </c>
      <c r="R369" s="2" t="inlineStr"/>
    </row>
    <row r="370" ht="15" customHeight="1">
      <c r="A370" t="inlineStr">
        <is>
          <t>A 26338-2021</t>
        </is>
      </c>
      <c r="B370" s="1" t="n">
        <v>44347</v>
      </c>
      <c r="C370" s="1" t="n">
        <v>45513</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26509-2021</t>
        </is>
      </c>
      <c r="B371" s="1" t="n">
        <v>44348</v>
      </c>
      <c r="C371" s="1" t="n">
        <v>45513</v>
      </c>
      <c r="D371" t="inlineStr">
        <is>
          <t>ÖREBRO LÄN</t>
        </is>
      </c>
      <c r="E371" t="inlineStr">
        <is>
          <t>ÖREBRO</t>
        </is>
      </c>
      <c r="G371" t="n">
        <v>2.5</v>
      </c>
      <c r="H371" t="n">
        <v>0</v>
      </c>
      <c r="I371" t="n">
        <v>0</v>
      </c>
      <c r="J371" t="n">
        <v>0</v>
      </c>
      <c r="K371" t="n">
        <v>0</v>
      </c>
      <c r="L371" t="n">
        <v>0</v>
      </c>
      <c r="M371" t="n">
        <v>0</v>
      </c>
      <c r="N371" t="n">
        <v>0</v>
      </c>
      <c r="O371" t="n">
        <v>0</v>
      </c>
      <c r="P371" t="n">
        <v>0</v>
      </c>
      <c r="Q371" t="n">
        <v>0</v>
      </c>
      <c r="R371" s="2" t="inlineStr"/>
    </row>
    <row r="372" ht="15" customHeight="1">
      <c r="A372" t="inlineStr">
        <is>
          <t>A 27141-2021</t>
        </is>
      </c>
      <c r="B372" s="1" t="n">
        <v>44350</v>
      </c>
      <c r="C372" s="1" t="n">
        <v>45513</v>
      </c>
      <c r="D372" t="inlineStr">
        <is>
          <t>ÖREBRO LÄN</t>
        </is>
      </c>
      <c r="E372" t="inlineStr">
        <is>
          <t>ÖREBRO</t>
        </is>
      </c>
      <c r="F372" t="inlineStr">
        <is>
          <t>Kommuner</t>
        </is>
      </c>
      <c r="G372" t="n">
        <v>1.6</v>
      </c>
      <c r="H372" t="n">
        <v>0</v>
      </c>
      <c r="I372" t="n">
        <v>0</v>
      </c>
      <c r="J372" t="n">
        <v>0</v>
      </c>
      <c r="K372" t="n">
        <v>0</v>
      </c>
      <c r="L372" t="n">
        <v>0</v>
      </c>
      <c r="M372" t="n">
        <v>0</v>
      </c>
      <c r="N372" t="n">
        <v>0</v>
      </c>
      <c r="O372" t="n">
        <v>0</v>
      </c>
      <c r="P372" t="n">
        <v>0</v>
      </c>
      <c r="Q372" t="n">
        <v>0</v>
      </c>
      <c r="R372" s="2" t="inlineStr"/>
    </row>
    <row r="373" ht="15" customHeight="1">
      <c r="A373" t="inlineStr">
        <is>
          <t>A 28689-2021</t>
        </is>
      </c>
      <c r="B373" s="1" t="n">
        <v>44357</v>
      </c>
      <c r="C373" s="1" t="n">
        <v>45513</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28870-2021</t>
        </is>
      </c>
      <c r="B374" s="1" t="n">
        <v>44357</v>
      </c>
      <c r="C374" s="1" t="n">
        <v>45513</v>
      </c>
      <c r="D374" t="inlineStr">
        <is>
          <t>ÖREBRO LÄN</t>
        </is>
      </c>
      <c r="E374" t="inlineStr">
        <is>
          <t>ÖREBRO</t>
        </is>
      </c>
      <c r="F374" t="inlineStr">
        <is>
          <t>Övriga Aktiebolag</t>
        </is>
      </c>
      <c r="G374" t="n">
        <v>2.4</v>
      </c>
      <c r="H374" t="n">
        <v>0</v>
      </c>
      <c r="I374" t="n">
        <v>0</v>
      </c>
      <c r="J374" t="n">
        <v>0</v>
      </c>
      <c r="K374" t="n">
        <v>0</v>
      </c>
      <c r="L374" t="n">
        <v>0</v>
      </c>
      <c r="M374" t="n">
        <v>0</v>
      </c>
      <c r="N374" t="n">
        <v>0</v>
      </c>
      <c r="O374" t="n">
        <v>0</v>
      </c>
      <c r="P374" t="n">
        <v>0</v>
      </c>
      <c r="Q374" t="n">
        <v>0</v>
      </c>
      <c r="R374" s="2" t="inlineStr"/>
    </row>
    <row r="375" ht="15" customHeight="1">
      <c r="A375" t="inlineStr">
        <is>
          <t>A 29033-2021</t>
        </is>
      </c>
      <c r="B375" s="1" t="n">
        <v>44358</v>
      </c>
      <c r="C375" s="1" t="n">
        <v>45513</v>
      </c>
      <c r="D375" t="inlineStr">
        <is>
          <t>ÖREBRO LÄN</t>
        </is>
      </c>
      <c r="E375" t="inlineStr">
        <is>
          <t>ÖREBRO</t>
        </is>
      </c>
      <c r="F375" t="inlineStr">
        <is>
          <t>Kommuner</t>
        </is>
      </c>
      <c r="G375" t="n">
        <v>3.7</v>
      </c>
      <c r="H375" t="n">
        <v>0</v>
      </c>
      <c r="I375" t="n">
        <v>0</v>
      </c>
      <c r="J375" t="n">
        <v>0</v>
      </c>
      <c r="K375" t="n">
        <v>0</v>
      </c>
      <c r="L375" t="n">
        <v>0</v>
      </c>
      <c r="M375" t="n">
        <v>0</v>
      </c>
      <c r="N375" t="n">
        <v>0</v>
      </c>
      <c r="O375" t="n">
        <v>0</v>
      </c>
      <c r="P375" t="n">
        <v>0</v>
      </c>
      <c r="Q375" t="n">
        <v>0</v>
      </c>
      <c r="R375" s="2" t="inlineStr"/>
    </row>
    <row r="376" ht="15" customHeight="1">
      <c r="A376" t="inlineStr">
        <is>
          <t>A 31235-2021</t>
        </is>
      </c>
      <c r="B376" s="1" t="n">
        <v>44368</v>
      </c>
      <c r="C376" s="1" t="n">
        <v>45513</v>
      </c>
      <c r="D376" t="inlineStr">
        <is>
          <t>ÖREBRO LÄN</t>
        </is>
      </c>
      <c r="E376" t="inlineStr">
        <is>
          <t>ÖREBRO</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33779-2021</t>
        </is>
      </c>
      <c r="B377" s="1" t="n">
        <v>44378</v>
      </c>
      <c r="C377" s="1" t="n">
        <v>45513</v>
      </c>
      <c r="D377" t="inlineStr">
        <is>
          <t>ÖREBRO LÄN</t>
        </is>
      </c>
      <c r="E377" t="inlineStr">
        <is>
          <t>ÖREBRO</t>
        </is>
      </c>
      <c r="F377" t="inlineStr">
        <is>
          <t>Kommuner</t>
        </is>
      </c>
      <c r="G377" t="n">
        <v>4.5</v>
      </c>
      <c r="H377" t="n">
        <v>0</v>
      </c>
      <c r="I377" t="n">
        <v>0</v>
      </c>
      <c r="J377" t="n">
        <v>0</v>
      </c>
      <c r="K377" t="n">
        <v>0</v>
      </c>
      <c r="L377" t="n">
        <v>0</v>
      </c>
      <c r="M377" t="n">
        <v>0</v>
      </c>
      <c r="N377" t="n">
        <v>0</v>
      </c>
      <c r="O377" t="n">
        <v>0</v>
      </c>
      <c r="P377" t="n">
        <v>0</v>
      </c>
      <c r="Q377" t="n">
        <v>0</v>
      </c>
      <c r="R377" s="2" t="inlineStr"/>
    </row>
    <row r="378" ht="15" customHeight="1">
      <c r="A378" t="inlineStr">
        <is>
          <t>A 33814-2021</t>
        </is>
      </c>
      <c r="B378" s="1" t="n">
        <v>44378</v>
      </c>
      <c r="C378" s="1" t="n">
        <v>45513</v>
      </c>
      <c r="D378" t="inlineStr">
        <is>
          <t>ÖREBRO LÄN</t>
        </is>
      </c>
      <c r="E378" t="inlineStr">
        <is>
          <t>ÖREBRO</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33865-2021</t>
        </is>
      </c>
      <c r="B379" s="1" t="n">
        <v>44378</v>
      </c>
      <c r="C379" s="1" t="n">
        <v>45513</v>
      </c>
      <c r="D379" t="inlineStr">
        <is>
          <t>ÖREBRO LÄN</t>
        </is>
      </c>
      <c r="E379" t="inlineStr">
        <is>
          <t>ÖREBRO</t>
        </is>
      </c>
      <c r="F379" t="inlineStr">
        <is>
          <t>Kommuner</t>
        </is>
      </c>
      <c r="G379" t="n">
        <v>2.8</v>
      </c>
      <c r="H379" t="n">
        <v>0</v>
      </c>
      <c r="I379" t="n">
        <v>0</v>
      </c>
      <c r="J379" t="n">
        <v>0</v>
      </c>
      <c r="K379" t="n">
        <v>0</v>
      </c>
      <c r="L379" t="n">
        <v>0</v>
      </c>
      <c r="M379" t="n">
        <v>0</v>
      </c>
      <c r="N379" t="n">
        <v>0</v>
      </c>
      <c r="O379" t="n">
        <v>0</v>
      </c>
      <c r="P379" t="n">
        <v>0</v>
      </c>
      <c r="Q379" t="n">
        <v>0</v>
      </c>
      <c r="R379" s="2" t="inlineStr"/>
    </row>
    <row r="380" ht="15" customHeight="1">
      <c r="A380" t="inlineStr">
        <is>
          <t>A 35836-2021</t>
        </is>
      </c>
      <c r="B380" s="1" t="n">
        <v>44386</v>
      </c>
      <c r="C380" s="1" t="n">
        <v>45513</v>
      </c>
      <c r="D380" t="inlineStr">
        <is>
          <t>ÖREBRO LÄN</t>
        </is>
      </c>
      <c r="E380" t="inlineStr">
        <is>
          <t>ÖREBRO</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37395-2021</t>
        </is>
      </c>
      <c r="B381" s="1" t="n">
        <v>44398</v>
      </c>
      <c r="C381" s="1" t="n">
        <v>45513</v>
      </c>
      <c r="D381" t="inlineStr">
        <is>
          <t>ÖREBRO LÄN</t>
        </is>
      </c>
      <c r="E381" t="inlineStr">
        <is>
          <t>ÖREBRO</t>
        </is>
      </c>
      <c r="G381" t="n">
        <v>3</v>
      </c>
      <c r="H381" t="n">
        <v>0</v>
      </c>
      <c r="I381" t="n">
        <v>0</v>
      </c>
      <c r="J381" t="n">
        <v>0</v>
      </c>
      <c r="K381" t="n">
        <v>0</v>
      </c>
      <c r="L381" t="n">
        <v>0</v>
      </c>
      <c r="M381" t="n">
        <v>0</v>
      </c>
      <c r="N381" t="n">
        <v>0</v>
      </c>
      <c r="O381" t="n">
        <v>0</v>
      </c>
      <c r="P381" t="n">
        <v>0</v>
      </c>
      <c r="Q381" t="n">
        <v>0</v>
      </c>
      <c r="R381" s="2" t="inlineStr"/>
    </row>
    <row r="382" ht="15" customHeight="1">
      <c r="A382" t="inlineStr">
        <is>
          <t>A 38133-2021</t>
        </is>
      </c>
      <c r="B382" s="1" t="n">
        <v>44404</v>
      </c>
      <c r="C382" s="1" t="n">
        <v>45513</v>
      </c>
      <c r="D382" t="inlineStr">
        <is>
          <t>ÖREBRO LÄN</t>
        </is>
      </c>
      <c r="E382" t="inlineStr">
        <is>
          <t>ÖREBRO</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40312-2021</t>
        </is>
      </c>
      <c r="B383" s="1" t="n">
        <v>44419</v>
      </c>
      <c r="C383" s="1" t="n">
        <v>45513</v>
      </c>
      <c r="D383" t="inlineStr">
        <is>
          <t>ÖREBRO LÄN</t>
        </is>
      </c>
      <c r="E383" t="inlineStr">
        <is>
          <t>ÖREBRO</t>
        </is>
      </c>
      <c r="F383" t="inlineStr">
        <is>
          <t>Övriga Aktiebolag</t>
        </is>
      </c>
      <c r="G383" t="n">
        <v>2.6</v>
      </c>
      <c r="H383" t="n">
        <v>0</v>
      </c>
      <c r="I383" t="n">
        <v>0</v>
      </c>
      <c r="J383" t="n">
        <v>0</v>
      </c>
      <c r="K383" t="n">
        <v>0</v>
      </c>
      <c r="L383" t="n">
        <v>0</v>
      </c>
      <c r="M383" t="n">
        <v>0</v>
      </c>
      <c r="N383" t="n">
        <v>0</v>
      </c>
      <c r="O383" t="n">
        <v>0</v>
      </c>
      <c r="P383" t="n">
        <v>0</v>
      </c>
      <c r="Q383" t="n">
        <v>0</v>
      </c>
      <c r="R383" s="2" t="inlineStr"/>
    </row>
    <row r="384" ht="15" customHeight="1">
      <c r="A384" t="inlineStr">
        <is>
          <t>A 40597-2021</t>
        </is>
      </c>
      <c r="B384" s="1" t="n">
        <v>44420</v>
      </c>
      <c r="C384" s="1" t="n">
        <v>45513</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40605-2021</t>
        </is>
      </c>
      <c r="B385" s="1" t="n">
        <v>44420</v>
      </c>
      <c r="C385" s="1" t="n">
        <v>45513</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40588-2021</t>
        </is>
      </c>
      <c r="B386" s="1" t="n">
        <v>44420</v>
      </c>
      <c r="C386" s="1" t="n">
        <v>45513</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41326-2021</t>
        </is>
      </c>
      <c r="B387" s="1" t="n">
        <v>44424</v>
      </c>
      <c r="C387" s="1" t="n">
        <v>45513</v>
      </c>
      <c r="D387" t="inlineStr">
        <is>
          <t>ÖREBRO LÄN</t>
        </is>
      </c>
      <c r="E387" t="inlineStr">
        <is>
          <t>ÖREBRO</t>
        </is>
      </c>
      <c r="G387" t="n">
        <v>5.9</v>
      </c>
      <c r="H387" t="n">
        <v>0</v>
      </c>
      <c r="I387" t="n">
        <v>0</v>
      </c>
      <c r="J387" t="n">
        <v>0</v>
      </c>
      <c r="K387" t="n">
        <v>0</v>
      </c>
      <c r="L387" t="n">
        <v>0</v>
      </c>
      <c r="M387" t="n">
        <v>0</v>
      </c>
      <c r="N387" t="n">
        <v>0</v>
      </c>
      <c r="O387" t="n">
        <v>0</v>
      </c>
      <c r="P387" t="n">
        <v>0</v>
      </c>
      <c r="Q387" t="n">
        <v>0</v>
      </c>
      <c r="R387" s="2" t="inlineStr"/>
    </row>
    <row r="388" ht="15" customHeight="1">
      <c r="A388" t="inlineStr">
        <is>
          <t>A 42518-2021</t>
        </is>
      </c>
      <c r="B388" s="1" t="n">
        <v>44427</v>
      </c>
      <c r="C388" s="1" t="n">
        <v>45513</v>
      </c>
      <c r="D388" t="inlineStr">
        <is>
          <t>ÖREBRO LÄN</t>
        </is>
      </c>
      <c r="E388" t="inlineStr">
        <is>
          <t>ÖREBRO</t>
        </is>
      </c>
      <c r="G388" t="n">
        <v>4.5</v>
      </c>
      <c r="H388" t="n">
        <v>0</v>
      </c>
      <c r="I388" t="n">
        <v>0</v>
      </c>
      <c r="J388" t="n">
        <v>0</v>
      </c>
      <c r="K388" t="n">
        <v>0</v>
      </c>
      <c r="L388" t="n">
        <v>0</v>
      </c>
      <c r="M388" t="n">
        <v>0</v>
      </c>
      <c r="N388" t="n">
        <v>0</v>
      </c>
      <c r="O388" t="n">
        <v>0</v>
      </c>
      <c r="P388" t="n">
        <v>0</v>
      </c>
      <c r="Q388" t="n">
        <v>0</v>
      </c>
      <c r="R388" s="2" t="inlineStr"/>
    </row>
    <row r="389" ht="15" customHeight="1">
      <c r="A389" t="inlineStr">
        <is>
          <t>A 42777-2021</t>
        </is>
      </c>
      <c r="B389" s="1" t="n">
        <v>44428</v>
      </c>
      <c r="C389" s="1" t="n">
        <v>45513</v>
      </c>
      <c r="D389" t="inlineStr">
        <is>
          <t>ÖREBRO LÄN</t>
        </is>
      </c>
      <c r="E389" t="inlineStr">
        <is>
          <t>ÖREBRO</t>
        </is>
      </c>
      <c r="F389" t="inlineStr">
        <is>
          <t>Övriga Aktiebolag</t>
        </is>
      </c>
      <c r="G389" t="n">
        <v>5.4</v>
      </c>
      <c r="H389" t="n">
        <v>0</v>
      </c>
      <c r="I389" t="n">
        <v>0</v>
      </c>
      <c r="J389" t="n">
        <v>0</v>
      </c>
      <c r="K389" t="n">
        <v>0</v>
      </c>
      <c r="L389" t="n">
        <v>0</v>
      </c>
      <c r="M389" t="n">
        <v>0</v>
      </c>
      <c r="N389" t="n">
        <v>0</v>
      </c>
      <c r="O389" t="n">
        <v>0</v>
      </c>
      <c r="P389" t="n">
        <v>0</v>
      </c>
      <c r="Q389" t="n">
        <v>0</v>
      </c>
      <c r="R389" s="2" t="inlineStr"/>
    </row>
    <row r="390" ht="15" customHeight="1">
      <c r="A390" t="inlineStr">
        <is>
          <t>A 44043-2021</t>
        </is>
      </c>
      <c r="B390" s="1" t="n">
        <v>44434</v>
      </c>
      <c r="C390" s="1" t="n">
        <v>45513</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44146-2021</t>
        </is>
      </c>
      <c r="B391" s="1" t="n">
        <v>44434</v>
      </c>
      <c r="C391" s="1" t="n">
        <v>45513</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44560-2021</t>
        </is>
      </c>
      <c r="B392" s="1" t="n">
        <v>44435</v>
      </c>
      <c r="C392" s="1" t="n">
        <v>45513</v>
      </c>
      <c r="D392" t="inlineStr">
        <is>
          <t>ÖREBRO LÄN</t>
        </is>
      </c>
      <c r="E392" t="inlineStr">
        <is>
          <t>ÖREBRO</t>
        </is>
      </c>
      <c r="F392" t="inlineStr">
        <is>
          <t>Kommuner</t>
        </is>
      </c>
      <c r="G392" t="n">
        <v>1.9</v>
      </c>
      <c r="H392" t="n">
        <v>0</v>
      </c>
      <c r="I392" t="n">
        <v>0</v>
      </c>
      <c r="J392" t="n">
        <v>0</v>
      </c>
      <c r="K392" t="n">
        <v>0</v>
      </c>
      <c r="L392" t="n">
        <v>0</v>
      </c>
      <c r="M392" t="n">
        <v>0</v>
      </c>
      <c r="N392" t="n">
        <v>0</v>
      </c>
      <c r="O392" t="n">
        <v>0</v>
      </c>
      <c r="P392" t="n">
        <v>0</v>
      </c>
      <c r="Q392" t="n">
        <v>0</v>
      </c>
      <c r="R392" s="2" t="inlineStr"/>
    </row>
    <row r="393" ht="15" customHeight="1">
      <c r="A393" t="inlineStr">
        <is>
          <t>A 46757-2021</t>
        </is>
      </c>
      <c r="B393" s="1" t="n">
        <v>44445</v>
      </c>
      <c r="C393" s="1" t="n">
        <v>45513</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47130-2021</t>
        </is>
      </c>
      <c r="B394" s="1" t="n">
        <v>44446</v>
      </c>
      <c r="C394" s="1" t="n">
        <v>45513</v>
      </c>
      <c r="D394" t="inlineStr">
        <is>
          <t>ÖREBRO LÄN</t>
        </is>
      </c>
      <c r="E394" t="inlineStr">
        <is>
          <t>ÖREBRO</t>
        </is>
      </c>
      <c r="G394" t="n">
        <v>7.9</v>
      </c>
      <c r="H394" t="n">
        <v>0</v>
      </c>
      <c r="I394" t="n">
        <v>0</v>
      </c>
      <c r="J394" t="n">
        <v>0</v>
      </c>
      <c r="K394" t="n">
        <v>0</v>
      </c>
      <c r="L394" t="n">
        <v>0</v>
      </c>
      <c r="M394" t="n">
        <v>0</v>
      </c>
      <c r="N394" t="n">
        <v>0</v>
      </c>
      <c r="O394" t="n">
        <v>0</v>
      </c>
      <c r="P394" t="n">
        <v>0</v>
      </c>
      <c r="Q394" t="n">
        <v>0</v>
      </c>
      <c r="R394" s="2" t="inlineStr"/>
    </row>
    <row r="395" ht="15" customHeight="1">
      <c r="A395" t="inlineStr">
        <is>
          <t>A 47973-2021</t>
        </is>
      </c>
      <c r="B395" s="1" t="n">
        <v>44449</v>
      </c>
      <c r="C395" s="1" t="n">
        <v>45513</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49016-2021</t>
        </is>
      </c>
      <c r="B396" s="1" t="n">
        <v>44453</v>
      </c>
      <c r="C396" s="1" t="n">
        <v>45513</v>
      </c>
      <c r="D396" t="inlineStr">
        <is>
          <t>ÖREBRO LÄN</t>
        </is>
      </c>
      <c r="E396" t="inlineStr">
        <is>
          <t>ÖREBRO</t>
        </is>
      </c>
      <c r="G396" t="n">
        <v>4.5</v>
      </c>
      <c r="H396" t="n">
        <v>0</v>
      </c>
      <c r="I396" t="n">
        <v>0</v>
      </c>
      <c r="J396" t="n">
        <v>0</v>
      </c>
      <c r="K396" t="n">
        <v>0</v>
      </c>
      <c r="L396" t="n">
        <v>0</v>
      </c>
      <c r="M396" t="n">
        <v>0</v>
      </c>
      <c r="N396" t="n">
        <v>0</v>
      </c>
      <c r="O396" t="n">
        <v>0</v>
      </c>
      <c r="P396" t="n">
        <v>0</v>
      </c>
      <c r="Q396" t="n">
        <v>0</v>
      </c>
      <c r="R396" s="2" t="inlineStr"/>
    </row>
    <row r="397" ht="15" customHeight="1">
      <c r="A397" t="inlineStr">
        <is>
          <t>A 51429-2021</t>
        </is>
      </c>
      <c r="B397" s="1" t="n">
        <v>44462</v>
      </c>
      <c r="C397" s="1" t="n">
        <v>45513</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52352-2021</t>
        </is>
      </c>
      <c r="B398" s="1" t="n">
        <v>44464</v>
      </c>
      <c r="C398" s="1" t="n">
        <v>45513</v>
      </c>
      <c r="D398" t="inlineStr">
        <is>
          <t>ÖREBRO LÄN</t>
        </is>
      </c>
      <c r="E398" t="inlineStr">
        <is>
          <t>ÖREBRO</t>
        </is>
      </c>
      <c r="G398" t="n">
        <v>1.3</v>
      </c>
      <c r="H398" t="n">
        <v>0</v>
      </c>
      <c r="I398" t="n">
        <v>0</v>
      </c>
      <c r="J398" t="n">
        <v>0</v>
      </c>
      <c r="K398" t="n">
        <v>0</v>
      </c>
      <c r="L398" t="n">
        <v>0</v>
      </c>
      <c r="M398" t="n">
        <v>0</v>
      </c>
      <c r="N398" t="n">
        <v>0</v>
      </c>
      <c r="O398" t="n">
        <v>0</v>
      </c>
      <c r="P398" t="n">
        <v>0</v>
      </c>
      <c r="Q398" t="n">
        <v>0</v>
      </c>
      <c r="R398" s="2" t="inlineStr"/>
    </row>
    <row r="399" ht="15" customHeight="1">
      <c r="A399" t="inlineStr">
        <is>
          <t>A 55487-2021</t>
        </is>
      </c>
      <c r="B399" s="1" t="n">
        <v>44475</v>
      </c>
      <c r="C399" s="1" t="n">
        <v>45513</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57343-2021</t>
        </is>
      </c>
      <c r="B400" s="1" t="n">
        <v>44482</v>
      </c>
      <c r="C400" s="1" t="n">
        <v>45513</v>
      </c>
      <c r="D400" t="inlineStr">
        <is>
          <t>ÖREBRO LÄN</t>
        </is>
      </c>
      <c r="E400" t="inlineStr">
        <is>
          <t>ÖREBRO</t>
        </is>
      </c>
      <c r="G400" t="n">
        <v>3.3</v>
      </c>
      <c r="H400" t="n">
        <v>0</v>
      </c>
      <c r="I400" t="n">
        <v>0</v>
      </c>
      <c r="J400" t="n">
        <v>0</v>
      </c>
      <c r="K400" t="n">
        <v>0</v>
      </c>
      <c r="L400" t="n">
        <v>0</v>
      </c>
      <c r="M400" t="n">
        <v>0</v>
      </c>
      <c r="N400" t="n">
        <v>0</v>
      </c>
      <c r="O400" t="n">
        <v>0</v>
      </c>
      <c r="P400" t="n">
        <v>0</v>
      </c>
      <c r="Q400" t="n">
        <v>0</v>
      </c>
      <c r="R400" s="2" t="inlineStr"/>
    </row>
    <row r="401" ht="15" customHeight="1">
      <c r="A401" t="inlineStr">
        <is>
          <t>A 57498-2021</t>
        </is>
      </c>
      <c r="B401" s="1" t="n">
        <v>44483</v>
      </c>
      <c r="C401" s="1" t="n">
        <v>45513</v>
      </c>
      <c r="D401" t="inlineStr">
        <is>
          <t>ÖREBRO LÄN</t>
        </is>
      </c>
      <c r="E401" t="inlineStr">
        <is>
          <t>ÖREBRO</t>
        </is>
      </c>
      <c r="F401" t="inlineStr">
        <is>
          <t>Övriga Aktiebolag</t>
        </is>
      </c>
      <c r="G401" t="n">
        <v>2.7</v>
      </c>
      <c r="H401" t="n">
        <v>0</v>
      </c>
      <c r="I401" t="n">
        <v>0</v>
      </c>
      <c r="J401" t="n">
        <v>0</v>
      </c>
      <c r="K401" t="n">
        <v>0</v>
      </c>
      <c r="L401" t="n">
        <v>0</v>
      </c>
      <c r="M401" t="n">
        <v>0</v>
      </c>
      <c r="N401" t="n">
        <v>0</v>
      </c>
      <c r="O401" t="n">
        <v>0</v>
      </c>
      <c r="P401" t="n">
        <v>0</v>
      </c>
      <c r="Q401" t="n">
        <v>0</v>
      </c>
      <c r="R401" s="2" t="inlineStr"/>
    </row>
    <row r="402" ht="15" customHeight="1">
      <c r="A402" t="inlineStr">
        <is>
          <t>A 58138-2021</t>
        </is>
      </c>
      <c r="B402" s="1" t="n">
        <v>44487</v>
      </c>
      <c r="C402" s="1" t="n">
        <v>45513</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59584-2021</t>
        </is>
      </c>
      <c r="B403" s="1" t="n">
        <v>44491</v>
      </c>
      <c r="C403" s="1" t="n">
        <v>45513</v>
      </c>
      <c r="D403" t="inlineStr">
        <is>
          <t>ÖREBRO LÄN</t>
        </is>
      </c>
      <c r="E403" t="inlineStr">
        <is>
          <t>ÖREBRO</t>
        </is>
      </c>
      <c r="G403" t="n">
        <v>1.4</v>
      </c>
      <c r="H403" t="n">
        <v>0</v>
      </c>
      <c r="I403" t="n">
        <v>0</v>
      </c>
      <c r="J403" t="n">
        <v>0</v>
      </c>
      <c r="K403" t="n">
        <v>0</v>
      </c>
      <c r="L403" t="n">
        <v>0</v>
      </c>
      <c r="M403" t="n">
        <v>0</v>
      </c>
      <c r="N403" t="n">
        <v>0</v>
      </c>
      <c r="O403" t="n">
        <v>0</v>
      </c>
      <c r="P403" t="n">
        <v>0</v>
      </c>
      <c r="Q403" t="n">
        <v>0</v>
      </c>
      <c r="R403" s="2" t="inlineStr"/>
    </row>
    <row r="404" ht="15" customHeight="1">
      <c r="A404" t="inlineStr">
        <is>
          <t>A 61232-2021</t>
        </is>
      </c>
      <c r="B404" s="1" t="n">
        <v>44498</v>
      </c>
      <c r="C404" s="1" t="n">
        <v>45513</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62794-2021</t>
        </is>
      </c>
      <c r="B405" s="1" t="n">
        <v>44504</v>
      </c>
      <c r="C405" s="1" t="n">
        <v>45513</v>
      </c>
      <c r="D405" t="inlineStr">
        <is>
          <t>ÖREBRO LÄN</t>
        </is>
      </c>
      <c r="E405" t="inlineStr">
        <is>
          <t>ÖREBRO</t>
        </is>
      </c>
      <c r="G405" t="n">
        <v>3.3</v>
      </c>
      <c r="H405" t="n">
        <v>0</v>
      </c>
      <c r="I405" t="n">
        <v>0</v>
      </c>
      <c r="J405" t="n">
        <v>0</v>
      </c>
      <c r="K405" t="n">
        <v>0</v>
      </c>
      <c r="L405" t="n">
        <v>0</v>
      </c>
      <c r="M405" t="n">
        <v>0</v>
      </c>
      <c r="N405" t="n">
        <v>0</v>
      </c>
      <c r="O405" t="n">
        <v>0</v>
      </c>
      <c r="P405" t="n">
        <v>0</v>
      </c>
      <c r="Q405" t="n">
        <v>0</v>
      </c>
      <c r="R405" s="2" t="inlineStr"/>
    </row>
    <row r="406" ht="15" customHeight="1">
      <c r="A406" t="inlineStr">
        <is>
          <t>A 63247-2021</t>
        </is>
      </c>
      <c r="B406" s="1" t="n">
        <v>44505</v>
      </c>
      <c r="C406" s="1" t="n">
        <v>45513</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63890-2021</t>
        </is>
      </c>
      <c r="B407" s="1" t="n">
        <v>44509</v>
      </c>
      <c r="C407" s="1" t="n">
        <v>45513</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64523-2021</t>
        </is>
      </c>
      <c r="B408" s="1" t="n">
        <v>44511</v>
      </c>
      <c r="C408" s="1" t="n">
        <v>45513</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66000-2021</t>
        </is>
      </c>
      <c r="B409" s="1" t="n">
        <v>44517</v>
      </c>
      <c r="C409" s="1" t="n">
        <v>45513</v>
      </c>
      <c r="D409" t="inlineStr">
        <is>
          <t>ÖREBRO LÄN</t>
        </is>
      </c>
      <c r="E409" t="inlineStr">
        <is>
          <t>ÖREBRO</t>
        </is>
      </c>
      <c r="G409" t="n">
        <v>3.8</v>
      </c>
      <c r="H409" t="n">
        <v>0</v>
      </c>
      <c r="I409" t="n">
        <v>0</v>
      </c>
      <c r="J409" t="n">
        <v>0</v>
      </c>
      <c r="K409" t="n">
        <v>0</v>
      </c>
      <c r="L409" t="n">
        <v>0</v>
      </c>
      <c r="M409" t="n">
        <v>0</v>
      </c>
      <c r="N409" t="n">
        <v>0</v>
      </c>
      <c r="O409" t="n">
        <v>0</v>
      </c>
      <c r="P409" t="n">
        <v>0</v>
      </c>
      <c r="Q409" t="n">
        <v>0</v>
      </c>
      <c r="R409" s="2" t="inlineStr"/>
    </row>
    <row r="410" ht="15" customHeight="1">
      <c r="A410" t="inlineStr">
        <is>
          <t>A 66559-2021</t>
        </is>
      </c>
      <c r="B410" s="1" t="n">
        <v>44519</v>
      </c>
      <c r="C410" s="1" t="n">
        <v>45513</v>
      </c>
      <c r="D410" t="inlineStr">
        <is>
          <t>ÖREBRO LÄN</t>
        </is>
      </c>
      <c r="E410" t="inlineStr">
        <is>
          <t>ÖREBRO</t>
        </is>
      </c>
      <c r="F410" t="inlineStr">
        <is>
          <t>Allmännings- och besparingsskogar</t>
        </is>
      </c>
      <c r="G410" t="n">
        <v>4.3</v>
      </c>
      <c r="H410" t="n">
        <v>0</v>
      </c>
      <c r="I410" t="n">
        <v>0</v>
      </c>
      <c r="J410" t="n">
        <v>0</v>
      </c>
      <c r="K410" t="n">
        <v>0</v>
      </c>
      <c r="L410" t="n">
        <v>0</v>
      </c>
      <c r="M410" t="n">
        <v>0</v>
      </c>
      <c r="N410" t="n">
        <v>0</v>
      </c>
      <c r="O410" t="n">
        <v>0</v>
      </c>
      <c r="P410" t="n">
        <v>0</v>
      </c>
      <c r="Q410" t="n">
        <v>0</v>
      </c>
      <c r="R410" s="2" t="inlineStr"/>
    </row>
    <row r="411" ht="15" customHeight="1">
      <c r="A411" t="inlineStr">
        <is>
          <t>A 66936-2021</t>
        </is>
      </c>
      <c r="B411" s="1" t="n">
        <v>44522</v>
      </c>
      <c r="C411" s="1" t="n">
        <v>45513</v>
      </c>
      <c r="D411" t="inlineStr">
        <is>
          <t>ÖREBRO LÄN</t>
        </is>
      </c>
      <c r="E411" t="inlineStr">
        <is>
          <t>ÖREBRO</t>
        </is>
      </c>
      <c r="G411" t="n">
        <v>6.8</v>
      </c>
      <c r="H411" t="n">
        <v>0</v>
      </c>
      <c r="I411" t="n">
        <v>0</v>
      </c>
      <c r="J411" t="n">
        <v>0</v>
      </c>
      <c r="K411" t="n">
        <v>0</v>
      </c>
      <c r="L411" t="n">
        <v>0</v>
      </c>
      <c r="M411" t="n">
        <v>0</v>
      </c>
      <c r="N411" t="n">
        <v>0</v>
      </c>
      <c r="O411" t="n">
        <v>0</v>
      </c>
      <c r="P411" t="n">
        <v>0</v>
      </c>
      <c r="Q411" t="n">
        <v>0</v>
      </c>
      <c r="R411" s="2" t="inlineStr"/>
    </row>
    <row r="412" ht="15" customHeight="1">
      <c r="A412" t="inlineStr">
        <is>
          <t>A 66970-2021</t>
        </is>
      </c>
      <c r="B412" s="1" t="n">
        <v>44522</v>
      </c>
      <c r="C412" s="1" t="n">
        <v>45513</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69733-2021</t>
        </is>
      </c>
      <c r="B413" s="1" t="n">
        <v>44532</v>
      </c>
      <c r="C413" s="1" t="n">
        <v>45513</v>
      </c>
      <c r="D413" t="inlineStr">
        <is>
          <t>ÖREBRO LÄN</t>
        </is>
      </c>
      <c r="E413" t="inlineStr">
        <is>
          <t>ÖREBRO</t>
        </is>
      </c>
      <c r="F413" t="inlineStr">
        <is>
          <t>Allmännings- och besparingsskogar</t>
        </is>
      </c>
      <c r="G413" t="n">
        <v>14.7</v>
      </c>
      <c r="H413" t="n">
        <v>0</v>
      </c>
      <c r="I413" t="n">
        <v>0</v>
      </c>
      <c r="J413" t="n">
        <v>0</v>
      </c>
      <c r="K413" t="n">
        <v>0</v>
      </c>
      <c r="L413" t="n">
        <v>0</v>
      </c>
      <c r="M413" t="n">
        <v>0</v>
      </c>
      <c r="N413" t="n">
        <v>0</v>
      </c>
      <c r="O413" t="n">
        <v>0</v>
      </c>
      <c r="P413" t="n">
        <v>0</v>
      </c>
      <c r="Q413" t="n">
        <v>0</v>
      </c>
      <c r="R413" s="2" t="inlineStr"/>
    </row>
    <row r="414" ht="15" customHeight="1">
      <c r="A414" t="inlineStr">
        <is>
          <t>A 70199-2021</t>
        </is>
      </c>
      <c r="B414" s="1" t="n">
        <v>44534</v>
      </c>
      <c r="C414" s="1" t="n">
        <v>45513</v>
      </c>
      <c r="D414" t="inlineStr">
        <is>
          <t>ÖREBRO LÄN</t>
        </is>
      </c>
      <c r="E414" t="inlineStr">
        <is>
          <t>ÖREBRO</t>
        </is>
      </c>
      <c r="G414" t="n">
        <v>4.1</v>
      </c>
      <c r="H414" t="n">
        <v>0</v>
      </c>
      <c r="I414" t="n">
        <v>0</v>
      </c>
      <c r="J414" t="n">
        <v>0</v>
      </c>
      <c r="K414" t="n">
        <v>0</v>
      </c>
      <c r="L414" t="n">
        <v>0</v>
      </c>
      <c r="M414" t="n">
        <v>0</v>
      </c>
      <c r="N414" t="n">
        <v>0</v>
      </c>
      <c r="O414" t="n">
        <v>0</v>
      </c>
      <c r="P414" t="n">
        <v>0</v>
      </c>
      <c r="Q414" t="n">
        <v>0</v>
      </c>
      <c r="R414" s="2" t="inlineStr"/>
    </row>
    <row r="415" ht="15" customHeight="1">
      <c r="A415" t="inlineStr">
        <is>
          <t>A 70289-2021</t>
        </is>
      </c>
      <c r="B415" s="1" t="n">
        <v>44536</v>
      </c>
      <c r="C415" s="1" t="n">
        <v>45513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70707-2021</t>
        </is>
      </c>
      <c r="B416" s="1" t="n">
        <v>44537</v>
      </c>
      <c r="C416" s="1" t="n">
        <v>45513</v>
      </c>
      <c r="D416" t="inlineStr">
        <is>
          <t>ÖREBRO LÄN</t>
        </is>
      </c>
      <c r="E416" t="inlineStr">
        <is>
          <t>ÖREBRO</t>
        </is>
      </c>
      <c r="G416" t="n">
        <v>13.2</v>
      </c>
      <c r="H416" t="n">
        <v>0</v>
      </c>
      <c r="I416" t="n">
        <v>0</v>
      </c>
      <c r="J416" t="n">
        <v>0</v>
      </c>
      <c r="K416" t="n">
        <v>0</v>
      </c>
      <c r="L416" t="n">
        <v>0</v>
      </c>
      <c r="M416" t="n">
        <v>0</v>
      </c>
      <c r="N416" t="n">
        <v>0</v>
      </c>
      <c r="O416" t="n">
        <v>0</v>
      </c>
      <c r="P416" t="n">
        <v>0</v>
      </c>
      <c r="Q416" t="n">
        <v>0</v>
      </c>
      <c r="R416" s="2" t="inlineStr"/>
    </row>
    <row r="417" ht="15" customHeight="1">
      <c r="A417" t="inlineStr">
        <is>
          <t>A 70719-2021</t>
        </is>
      </c>
      <c r="B417" s="1" t="n">
        <v>44537</v>
      </c>
      <c r="C417" s="1" t="n">
        <v>45513</v>
      </c>
      <c r="D417" t="inlineStr">
        <is>
          <t>ÖREBRO LÄN</t>
        </is>
      </c>
      <c r="E417" t="inlineStr">
        <is>
          <t>ÖREBRO</t>
        </is>
      </c>
      <c r="G417" t="n">
        <v>4.3</v>
      </c>
      <c r="H417" t="n">
        <v>0</v>
      </c>
      <c r="I417" t="n">
        <v>0</v>
      </c>
      <c r="J417" t="n">
        <v>0</v>
      </c>
      <c r="K417" t="n">
        <v>0</v>
      </c>
      <c r="L417" t="n">
        <v>0</v>
      </c>
      <c r="M417" t="n">
        <v>0</v>
      </c>
      <c r="N417" t="n">
        <v>0</v>
      </c>
      <c r="O417" t="n">
        <v>0</v>
      </c>
      <c r="P417" t="n">
        <v>0</v>
      </c>
      <c r="Q417" t="n">
        <v>0</v>
      </c>
      <c r="R417" s="2" t="inlineStr"/>
    </row>
    <row r="418" ht="15" customHeight="1">
      <c r="A418" t="inlineStr">
        <is>
          <t>A 70540-2021</t>
        </is>
      </c>
      <c r="B418" s="1" t="n">
        <v>44537</v>
      </c>
      <c r="C418" s="1" t="n">
        <v>45513</v>
      </c>
      <c r="D418" t="inlineStr">
        <is>
          <t>ÖREBRO LÄN</t>
        </is>
      </c>
      <c r="E418" t="inlineStr">
        <is>
          <t>ÖREBRO</t>
        </is>
      </c>
      <c r="G418" t="n">
        <v>7.1</v>
      </c>
      <c r="H418" t="n">
        <v>0</v>
      </c>
      <c r="I418" t="n">
        <v>0</v>
      </c>
      <c r="J418" t="n">
        <v>0</v>
      </c>
      <c r="K418" t="n">
        <v>0</v>
      </c>
      <c r="L418" t="n">
        <v>0</v>
      </c>
      <c r="M418" t="n">
        <v>0</v>
      </c>
      <c r="N418" t="n">
        <v>0</v>
      </c>
      <c r="O418" t="n">
        <v>0</v>
      </c>
      <c r="P418" t="n">
        <v>0</v>
      </c>
      <c r="Q418" t="n">
        <v>0</v>
      </c>
      <c r="R418" s="2" t="inlineStr"/>
    </row>
    <row r="419" ht="15" customHeight="1">
      <c r="A419" t="inlineStr">
        <is>
          <t>A 70871-2021</t>
        </is>
      </c>
      <c r="B419" s="1" t="n">
        <v>44538</v>
      </c>
      <c r="C419" s="1" t="n">
        <v>45513</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71206-2021</t>
        </is>
      </c>
      <c r="B420" s="1" t="n">
        <v>44539</v>
      </c>
      <c r="C420" s="1" t="n">
        <v>45513</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71269-2021</t>
        </is>
      </c>
      <c r="B421" s="1" t="n">
        <v>44539</v>
      </c>
      <c r="C421" s="1" t="n">
        <v>45513</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71293-2021</t>
        </is>
      </c>
      <c r="B422" s="1" t="n">
        <v>44539</v>
      </c>
      <c r="C422" s="1" t="n">
        <v>45513</v>
      </c>
      <c r="D422" t="inlineStr">
        <is>
          <t>ÖREBRO LÄN</t>
        </is>
      </c>
      <c r="E422" t="inlineStr">
        <is>
          <t>ÖREBRO</t>
        </is>
      </c>
      <c r="G422" t="n">
        <v>3.9</v>
      </c>
      <c r="H422" t="n">
        <v>0</v>
      </c>
      <c r="I422" t="n">
        <v>0</v>
      </c>
      <c r="J422" t="n">
        <v>0</v>
      </c>
      <c r="K422" t="n">
        <v>0</v>
      </c>
      <c r="L422" t="n">
        <v>0</v>
      </c>
      <c r="M422" t="n">
        <v>0</v>
      </c>
      <c r="N422" t="n">
        <v>0</v>
      </c>
      <c r="O422" t="n">
        <v>0</v>
      </c>
      <c r="P422" t="n">
        <v>0</v>
      </c>
      <c r="Q422" t="n">
        <v>0</v>
      </c>
      <c r="R422" s="2" t="inlineStr"/>
    </row>
    <row r="423" ht="15" customHeight="1">
      <c r="A423" t="inlineStr">
        <is>
          <t>A 71267-2021</t>
        </is>
      </c>
      <c r="B423" s="1" t="n">
        <v>44539</v>
      </c>
      <c r="C423" s="1" t="n">
        <v>45513</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71266-2021</t>
        </is>
      </c>
      <c r="B424" s="1" t="n">
        <v>44539</v>
      </c>
      <c r="C424" s="1" t="n">
        <v>45513</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71275-2021</t>
        </is>
      </c>
      <c r="B425" s="1" t="n">
        <v>44539</v>
      </c>
      <c r="C425" s="1" t="n">
        <v>45513</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71288-2021</t>
        </is>
      </c>
      <c r="B426" s="1" t="n">
        <v>44539</v>
      </c>
      <c r="C426" s="1" t="n">
        <v>45513</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71272-2021</t>
        </is>
      </c>
      <c r="B427" s="1" t="n">
        <v>44539</v>
      </c>
      <c r="C427" s="1" t="n">
        <v>45513</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71285-2021</t>
        </is>
      </c>
      <c r="B428" s="1" t="n">
        <v>44539</v>
      </c>
      <c r="C428" s="1" t="n">
        <v>45513</v>
      </c>
      <c r="D428" t="inlineStr">
        <is>
          <t>ÖREBRO LÄN</t>
        </is>
      </c>
      <c r="E428" t="inlineStr">
        <is>
          <t>ÖREBRO</t>
        </is>
      </c>
      <c r="G428" t="n">
        <v>0.8</v>
      </c>
      <c r="H428" t="n">
        <v>0</v>
      </c>
      <c r="I428" t="n">
        <v>0</v>
      </c>
      <c r="J428" t="n">
        <v>0</v>
      </c>
      <c r="K428" t="n">
        <v>0</v>
      </c>
      <c r="L428" t="n">
        <v>0</v>
      </c>
      <c r="M428" t="n">
        <v>0</v>
      </c>
      <c r="N428" t="n">
        <v>0</v>
      </c>
      <c r="O428" t="n">
        <v>0</v>
      </c>
      <c r="P428" t="n">
        <v>0</v>
      </c>
      <c r="Q428" t="n">
        <v>0</v>
      </c>
      <c r="R428" s="2" t="inlineStr"/>
    </row>
    <row r="429" ht="15" customHeight="1">
      <c r="A429" t="inlineStr">
        <is>
          <t>A 71295-2021</t>
        </is>
      </c>
      <c r="B429" s="1" t="n">
        <v>44539</v>
      </c>
      <c r="C429" s="1" t="n">
        <v>45513</v>
      </c>
      <c r="D429" t="inlineStr">
        <is>
          <t>ÖREBRO LÄN</t>
        </is>
      </c>
      <c r="E429" t="inlineStr">
        <is>
          <t>ÖREBRO</t>
        </is>
      </c>
      <c r="G429" t="n">
        <v>2.3</v>
      </c>
      <c r="H429" t="n">
        <v>0</v>
      </c>
      <c r="I429" t="n">
        <v>0</v>
      </c>
      <c r="J429" t="n">
        <v>0</v>
      </c>
      <c r="K429" t="n">
        <v>0</v>
      </c>
      <c r="L429" t="n">
        <v>0</v>
      </c>
      <c r="M429" t="n">
        <v>0</v>
      </c>
      <c r="N429" t="n">
        <v>0</v>
      </c>
      <c r="O429" t="n">
        <v>0</v>
      </c>
      <c r="P429" t="n">
        <v>0</v>
      </c>
      <c r="Q429" t="n">
        <v>0</v>
      </c>
      <c r="R429" s="2" t="inlineStr"/>
    </row>
    <row r="430" ht="15" customHeight="1">
      <c r="A430" t="inlineStr">
        <is>
          <t>A 71280-2021</t>
        </is>
      </c>
      <c r="B430" s="1" t="n">
        <v>44539</v>
      </c>
      <c r="C430" s="1" t="n">
        <v>45513</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71291-2021</t>
        </is>
      </c>
      <c r="B431" s="1" t="n">
        <v>44539</v>
      </c>
      <c r="C431" s="1" t="n">
        <v>45513</v>
      </c>
      <c r="D431" t="inlineStr">
        <is>
          <t>ÖREBRO LÄN</t>
        </is>
      </c>
      <c r="E431" t="inlineStr">
        <is>
          <t>ÖREBRO</t>
        </is>
      </c>
      <c r="G431" t="n">
        <v>1</v>
      </c>
      <c r="H431" t="n">
        <v>0</v>
      </c>
      <c r="I431" t="n">
        <v>0</v>
      </c>
      <c r="J431" t="n">
        <v>0</v>
      </c>
      <c r="K431" t="n">
        <v>0</v>
      </c>
      <c r="L431" t="n">
        <v>0</v>
      </c>
      <c r="M431" t="n">
        <v>0</v>
      </c>
      <c r="N431" t="n">
        <v>0</v>
      </c>
      <c r="O431" t="n">
        <v>0</v>
      </c>
      <c r="P431" t="n">
        <v>0</v>
      </c>
      <c r="Q431" t="n">
        <v>0</v>
      </c>
      <c r="R431" s="2" t="inlineStr"/>
    </row>
    <row r="432" ht="15" customHeight="1">
      <c r="A432" t="inlineStr">
        <is>
          <t>A 72329-2021</t>
        </is>
      </c>
      <c r="B432" s="1" t="n">
        <v>44545</v>
      </c>
      <c r="C432" s="1" t="n">
        <v>45513</v>
      </c>
      <c r="D432" t="inlineStr">
        <is>
          <t>ÖREBRO LÄN</t>
        </is>
      </c>
      <c r="E432" t="inlineStr">
        <is>
          <t>ÖREBRO</t>
        </is>
      </c>
      <c r="G432" t="n">
        <v>0.5</v>
      </c>
      <c r="H432" t="n">
        <v>0</v>
      </c>
      <c r="I432" t="n">
        <v>0</v>
      </c>
      <c r="J432" t="n">
        <v>0</v>
      </c>
      <c r="K432" t="n">
        <v>0</v>
      </c>
      <c r="L432" t="n">
        <v>0</v>
      </c>
      <c r="M432" t="n">
        <v>0</v>
      </c>
      <c r="N432" t="n">
        <v>0</v>
      </c>
      <c r="O432" t="n">
        <v>0</v>
      </c>
      <c r="P432" t="n">
        <v>0</v>
      </c>
      <c r="Q432" t="n">
        <v>0</v>
      </c>
      <c r="R432" s="2" t="inlineStr"/>
    </row>
    <row r="433" ht="15" customHeight="1">
      <c r="A433" t="inlineStr">
        <is>
          <t>A 72338-2021</t>
        </is>
      </c>
      <c r="B433" s="1" t="n">
        <v>44545</v>
      </c>
      <c r="C433" s="1" t="n">
        <v>45513</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73946-2021</t>
        </is>
      </c>
      <c r="B434" s="1" t="n">
        <v>44552</v>
      </c>
      <c r="C434" s="1" t="n">
        <v>45513</v>
      </c>
      <c r="D434" t="inlineStr">
        <is>
          <t>ÖREBRO LÄN</t>
        </is>
      </c>
      <c r="E434" t="inlineStr">
        <is>
          <t>ÖREBRO</t>
        </is>
      </c>
      <c r="G434" t="n">
        <v>4.7</v>
      </c>
      <c r="H434" t="n">
        <v>0</v>
      </c>
      <c r="I434" t="n">
        <v>0</v>
      </c>
      <c r="J434" t="n">
        <v>0</v>
      </c>
      <c r="K434" t="n">
        <v>0</v>
      </c>
      <c r="L434" t="n">
        <v>0</v>
      </c>
      <c r="M434" t="n">
        <v>0</v>
      </c>
      <c r="N434" t="n">
        <v>0</v>
      </c>
      <c r="O434" t="n">
        <v>0</v>
      </c>
      <c r="P434" t="n">
        <v>0</v>
      </c>
      <c r="Q434" t="n">
        <v>0</v>
      </c>
      <c r="R434" s="2" t="inlineStr"/>
    </row>
    <row r="435" ht="15" customHeight="1">
      <c r="A435" t="inlineStr">
        <is>
          <t>A 797-2022</t>
        </is>
      </c>
      <c r="B435" s="1" t="n">
        <v>44566</v>
      </c>
      <c r="C435" s="1" t="n">
        <v>45513</v>
      </c>
      <c r="D435" t="inlineStr">
        <is>
          <t>ÖREBRO LÄN</t>
        </is>
      </c>
      <c r="E435" t="inlineStr">
        <is>
          <t>ÖREBRO</t>
        </is>
      </c>
      <c r="G435" t="n">
        <v>0.1</v>
      </c>
      <c r="H435" t="n">
        <v>0</v>
      </c>
      <c r="I435" t="n">
        <v>0</v>
      </c>
      <c r="J435" t="n">
        <v>0</v>
      </c>
      <c r="K435" t="n">
        <v>0</v>
      </c>
      <c r="L435" t="n">
        <v>0</v>
      </c>
      <c r="M435" t="n">
        <v>0</v>
      </c>
      <c r="N435" t="n">
        <v>0</v>
      </c>
      <c r="O435" t="n">
        <v>0</v>
      </c>
      <c r="P435" t="n">
        <v>0</v>
      </c>
      <c r="Q435" t="n">
        <v>0</v>
      </c>
      <c r="R435" s="2" t="inlineStr"/>
    </row>
    <row r="436" ht="15" customHeight="1">
      <c r="A436" t="inlineStr">
        <is>
          <t>A 1257-2022</t>
        </is>
      </c>
      <c r="B436" s="1" t="n">
        <v>44572</v>
      </c>
      <c r="C436" s="1" t="n">
        <v>45513</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1492-2022</t>
        </is>
      </c>
      <c r="B437" s="1" t="n">
        <v>44573</v>
      </c>
      <c r="C437" s="1" t="n">
        <v>45513</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2596-2022</t>
        </is>
      </c>
      <c r="B438" s="1" t="n">
        <v>44580</v>
      </c>
      <c r="C438" s="1" t="n">
        <v>45513</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3120-2022</t>
        </is>
      </c>
      <c r="B439" s="1" t="n">
        <v>44582</v>
      </c>
      <c r="C439" s="1" t="n">
        <v>45513</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3563-2022</t>
        </is>
      </c>
      <c r="B440" s="1" t="n">
        <v>44585</v>
      </c>
      <c r="C440" s="1" t="n">
        <v>45513</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3652-2022</t>
        </is>
      </c>
      <c r="B441" s="1" t="n">
        <v>44586</v>
      </c>
      <c r="C441" s="1" t="n">
        <v>45513</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4761-2022</t>
        </is>
      </c>
      <c r="B442" s="1" t="n">
        <v>44592</v>
      </c>
      <c r="C442" s="1" t="n">
        <v>45513</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4766-2022</t>
        </is>
      </c>
      <c r="B443" s="1" t="n">
        <v>44592</v>
      </c>
      <c r="C443" s="1" t="n">
        <v>45513</v>
      </c>
      <c r="D443" t="inlineStr">
        <is>
          <t>ÖREBRO LÄN</t>
        </is>
      </c>
      <c r="E443" t="inlineStr">
        <is>
          <t>ÖREBRO</t>
        </is>
      </c>
      <c r="G443" t="n">
        <v>2.9</v>
      </c>
      <c r="H443" t="n">
        <v>0</v>
      </c>
      <c r="I443" t="n">
        <v>0</v>
      </c>
      <c r="J443" t="n">
        <v>0</v>
      </c>
      <c r="K443" t="n">
        <v>0</v>
      </c>
      <c r="L443" t="n">
        <v>0</v>
      </c>
      <c r="M443" t="n">
        <v>0</v>
      </c>
      <c r="N443" t="n">
        <v>0</v>
      </c>
      <c r="O443" t="n">
        <v>0</v>
      </c>
      <c r="P443" t="n">
        <v>0</v>
      </c>
      <c r="Q443" t="n">
        <v>0</v>
      </c>
      <c r="R443" s="2" t="inlineStr"/>
    </row>
    <row r="444" ht="15" customHeight="1">
      <c r="A444" t="inlineStr">
        <is>
          <t>A 4956-2022</t>
        </is>
      </c>
      <c r="B444" s="1" t="n">
        <v>44593</v>
      </c>
      <c r="C444" s="1" t="n">
        <v>45513</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4961-2022</t>
        </is>
      </c>
      <c r="B445" s="1" t="n">
        <v>44593</v>
      </c>
      <c r="C445" s="1" t="n">
        <v>45513</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4887-2022</t>
        </is>
      </c>
      <c r="B446" s="1" t="n">
        <v>44593</v>
      </c>
      <c r="C446" s="1" t="n">
        <v>45513</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4970-2022</t>
        </is>
      </c>
      <c r="B447" s="1" t="n">
        <v>44593</v>
      </c>
      <c r="C447" s="1" t="n">
        <v>45513</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5026-2022</t>
        </is>
      </c>
      <c r="B448" s="1" t="n">
        <v>44593</v>
      </c>
      <c r="C448" s="1" t="n">
        <v>45513</v>
      </c>
      <c r="D448" t="inlineStr">
        <is>
          <t>ÖREBRO LÄN</t>
        </is>
      </c>
      <c r="E448" t="inlineStr">
        <is>
          <t>ÖREBRO</t>
        </is>
      </c>
      <c r="G448" t="n">
        <v>1.1</v>
      </c>
      <c r="H448" t="n">
        <v>0</v>
      </c>
      <c r="I448" t="n">
        <v>0</v>
      </c>
      <c r="J448" t="n">
        <v>0</v>
      </c>
      <c r="K448" t="n">
        <v>0</v>
      </c>
      <c r="L448" t="n">
        <v>0</v>
      </c>
      <c r="M448" t="n">
        <v>0</v>
      </c>
      <c r="N448" t="n">
        <v>0</v>
      </c>
      <c r="O448" t="n">
        <v>0</v>
      </c>
      <c r="P448" t="n">
        <v>0</v>
      </c>
      <c r="Q448" t="n">
        <v>0</v>
      </c>
      <c r="R448" s="2" t="inlineStr"/>
    </row>
    <row r="449" ht="15" customHeight="1">
      <c r="A449" t="inlineStr">
        <is>
          <t>A 5401-2022</t>
        </is>
      </c>
      <c r="B449" s="1" t="n">
        <v>44595</v>
      </c>
      <c r="C449" s="1" t="n">
        <v>45513</v>
      </c>
      <c r="D449" t="inlineStr">
        <is>
          <t>ÖREBRO LÄN</t>
        </is>
      </c>
      <c r="E449" t="inlineStr">
        <is>
          <t>ÖREBRO</t>
        </is>
      </c>
      <c r="G449" t="n">
        <v>2.3</v>
      </c>
      <c r="H449" t="n">
        <v>0</v>
      </c>
      <c r="I449" t="n">
        <v>0</v>
      </c>
      <c r="J449" t="n">
        <v>0</v>
      </c>
      <c r="K449" t="n">
        <v>0</v>
      </c>
      <c r="L449" t="n">
        <v>0</v>
      </c>
      <c r="M449" t="n">
        <v>0</v>
      </c>
      <c r="N449" t="n">
        <v>0</v>
      </c>
      <c r="O449" t="n">
        <v>0</v>
      </c>
      <c r="P449" t="n">
        <v>0</v>
      </c>
      <c r="Q449" t="n">
        <v>0</v>
      </c>
      <c r="R449" s="2" t="inlineStr"/>
    </row>
    <row r="450" ht="15" customHeight="1">
      <c r="A450" t="inlineStr">
        <is>
          <t>A 5398-2022</t>
        </is>
      </c>
      <c r="B450" s="1" t="n">
        <v>44595</v>
      </c>
      <c r="C450" s="1" t="n">
        <v>45513</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5764-2022</t>
        </is>
      </c>
      <c r="B451" s="1" t="n">
        <v>44596</v>
      </c>
      <c r="C451" s="1" t="n">
        <v>45513</v>
      </c>
      <c r="D451" t="inlineStr">
        <is>
          <t>ÖREBRO LÄN</t>
        </is>
      </c>
      <c r="E451" t="inlineStr">
        <is>
          <t>ÖREBRO</t>
        </is>
      </c>
      <c r="G451" t="n">
        <v>3.5</v>
      </c>
      <c r="H451" t="n">
        <v>0</v>
      </c>
      <c r="I451" t="n">
        <v>0</v>
      </c>
      <c r="J451" t="n">
        <v>0</v>
      </c>
      <c r="K451" t="n">
        <v>0</v>
      </c>
      <c r="L451" t="n">
        <v>0</v>
      </c>
      <c r="M451" t="n">
        <v>0</v>
      </c>
      <c r="N451" t="n">
        <v>0</v>
      </c>
      <c r="O451" t="n">
        <v>0</v>
      </c>
      <c r="P451" t="n">
        <v>0</v>
      </c>
      <c r="Q451" t="n">
        <v>0</v>
      </c>
      <c r="R451" s="2" t="inlineStr"/>
    </row>
    <row r="452" ht="15" customHeight="1">
      <c r="A452" t="inlineStr">
        <is>
          <t>A 6638-2022</t>
        </is>
      </c>
      <c r="B452" s="1" t="n">
        <v>44601</v>
      </c>
      <c r="C452" s="1" t="n">
        <v>45513</v>
      </c>
      <c r="D452" t="inlineStr">
        <is>
          <t>ÖREBRO LÄN</t>
        </is>
      </c>
      <c r="E452" t="inlineStr">
        <is>
          <t>ÖREBRO</t>
        </is>
      </c>
      <c r="G452" t="n">
        <v>3.3</v>
      </c>
      <c r="H452" t="n">
        <v>0</v>
      </c>
      <c r="I452" t="n">
        <v>0</v>
      </c>
      <c r="J452" t="n">
        <v>0</v>
      </c>
      <c r="K452" t="n">
        <v>0</v>
      </c>
      <c r="L452" t="n">
        <v>0</v>
      </c>
      <c r="M452" t="n">
        <v>0</v>
      </c>
      <c r="N452" t="n">
        <v>0</v>
      </c>
      <c r="O452" t="n">
        <v>0</v>
      </c>
      <c r="P452" t="n">
        <v>0</v>
      </c>
      <c r="Q452" t="n">
        <v>0</v>
      </c>
      <c r="R452" s="2" t="inlineStr"/>
    </row>
    <row r="453" ht="15" customHeight="1">
      <c r="A453" t="inlineStr">
        <is>
          <t>A 6752-2022</t>
        </is>
      </c>
      <c r="B453" s="1" t="n">
        <v>44602</v>
      </c>
      <c r="C453" s="1" t="n">
        <v>45513</v>
      </c>
      <c r="D453" t="inlineStr">
        <is>
          <t>ÖREBRO LÄN</t>
        </is>
      </c>
      <c r="E453" t="inlineStr">
        <is>
          <t>ÖREBRO</t>
        </is>
      </c>
      <c r="G453" t="n">
        <v>3.1</v>
      </c>
      <c r="H453" t="n">
        <v>0</v>
      </c>
      <c r="I453" t="n">
        <v>0</v>
      </c>
      <c r="J453" t="n">
        <v>0</v>
      </c>
      <c r="K453" t="n">
        <v>0</v>
      </c>
      <c r="L453" t="n">
        <v>0</v>
      </c>
      <c r="M453" t="n">
        <v>0</v>
      </c>
      <c r="N453" t="n">
        <v>0</v>
      </c>
      <c r="O453" t="n">
        <v>0</v>
      </c>
      <c r="P453" t="n">
        <v>0</v>
      </c>
      <c r="Q453" t="n">
        <v>0</v>
      </c>
      <c r="R453" s="2" t="inlineStr"/>
    </row>
    <row r="454" ht="15" customHeight="1">
      <c r="A454" t="inlineStr">
        <is>
          <t>A 7365-2022</t>
        </is>
      </c>
      <c r="B454" s="1" t="n">
        <v>44606</v>
      </c>
      <c r="C454" s="1" t="n">
        <v>45513</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8022-2022</t>
        </is>
      </c>
      <c r="B455" s="1" t="n">
        <v>44609</v>
      </c>
      <c r="C455" s="1" t="n">
        <v>45513</v>
      </c>
      <c r="D455" t="inlineStr">
        <is>
          <t>ÖREBRO LÄN</t>
        </is>
      </c>
      <c r="E455" t="inlineStr">
        <is>
          <t>ÖREBRO</t>
        </is>
      </c>
      <c r="G455" t="n">
        <v>5.6</v>
      </c>
      <c r="H455" t="n">
        <v>0</v>
      </c>
      <c r="I455" t="n">
        <v>0</v>
      </c>
      <c r="J455" t="n">
        <v>0</v>
      </c>
      <c r="K455" t="n">
        <v>0</v>
      </c>
      <c r="L455" t="n">
        <v>0</v>
      </c>
      <c r="M455" t="n">
        <v>0</v>
      </c>
      <c r="N455" t="n">
        <v>0</v>
      </c>
      <c r="O455" t="n">
        <v>0</v>
      </c>
      <c r="P455" t="n">
        <v>0</v>
      </c>
      <c r="Q455" t="n">
        <v>0</v>
      </c>
      <c r="R455" s="2" t="inlineStr"/>
    </row>
    <row r="456" ht="15" customHeight="1">
      <c r="A456" t="inlineStr">
        <is>
          <t>A 8159-2022</t>
        </is>
      </c>
      <c r="B456" s="1" t="n">
        <v>44609</v>
      </c>
      <c r="C456" s="1" t="n">
        <v>45513</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8163-2022</t>
        </is>
      </c>
      <c r="B457" s="1" t="n">
        <v>44609</v>
      </c>
      <c r="C457" s="1" t="n">
        <v>45513</v>
      </c>
      <c r="D457" t="inlineStr">
        <is>
          <t>ÖREBRO LÄN</t>
        </is>
      </c>
      <c r="E457" t="inlineStr">
        <is>
          <t>ÖREBRO</t>
        </is>
      </c>
      <c r="G457" t="n">
        <v>2.2</v>
      </c>
      <c r="H457" t="n">
        <v>0</v>
      </c>
      <c r="I457" t="n">
        <v>0</v>
      </c>
      <c r="J457" t="n">
        <v>0</v>
      </c>
      <c r="K457" t="n">
        <v>0</v>
      </c>
      <c r="L457" t="n">
        <v>0</v>
      </c>
      <c r="M457" t="n">
        <v>0</v>
      </c>
      <c r="N457" t="n">
        <v>0</v>
      </c>
      <c r="O457" t="n">
        <v>0</v>
      </c>
      <c r="P457" t="n">
        <v>0</v>
      </c>
      <c r="Q457" t="n">
        <v>0</v>
      </c>
      <c r="R457" s="2" t="inlineStr"/>
    </row>
    <row r="458" ht="15" customHeight="1">
      <c r="A458" t="inlineStr">
        <is>
          <t>A 8156-2022</t>
        </is>
      </c>
      <c r="B458" s="1" t="n">
        <v>44609</v>
      </c>
      <c r="C458" s="1" t="n">
        <v>45513</v>
      </c>
      <c r="D458" t="inlineStr">
        <is>
          <t>ÖREBRO LÄN</t>
        </is>
      </c>
      <c r="E458" t="inlineStr">
        <is>
          <t>ÖREBRO</t>
        </is>
      </c>
      <c r="G458" t="n">
        <v>3</v>
      </c>
      <c r="H458" t="n">
        <v>0</v>
      </c>
      <c r="I458" t="n">
        <v>0</v>
      </c>
      <c r="J458" t="n">
        <v>0</v>
      </c>
      <c r="K458" t="n">
        <v>0</v>
      </c>
      <c r="L458" t="n">
        <v>0</v>
      </c>
      <c r="M458" t="n">
        <v>0</v>
      </c>
      <c r="N458" t="n">
        <v>0</v>
      </c>
      <c r="O458" t="n">
        <v>0</v>
      </c>
      <c r="P458" t="n">
        <v>0</v>
      </c>
      <c r="Q458" t="n">
        <v>0</v>
      </c>
      <c r="R458" s="2" t="inlineStr"/>
    </row>
    <row r="459" ht="15" customHeight="1">
      <c r="A459" t="inlineStr">
        <is>
          <t>A 8884-2022</t>
        </is>
      </c>
      <c r="B459" s="1" t="n">
        <v>44614</v>
      </c>
      <c r="C459" s="1" t="n">
        <v>45513</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9395-2022</t>
        </is>
      </c>
      <c r="B460" s="1" t="n">
        <v>44616</v>
      </c>
      <c r="C460" s="1" t="n">
        <v>45513</v>
      </c>
      <c r="D460" t="inlineStr">
        <is>
          <t>ÖREBRO LÄN</t>
        </is>
      </c>
      <c r="E460" t="inlineStr">
        <is>
          <t>ÖREBRO</t>
        </is>
      </c>
      <c r="G460" t="n">
        <v>4.1</v>
      </c>
      <c r="H460" t="n">
        <v>0</v>
      </c>
      <c r="I460" t="n">
        <v>0</v>
      </c>
      <c r="J460" t="n">
        <v>0</v>
      </c>
      <c r="K460" t="n">
        <v>0</v>
      </c>
      <c r="L460" t="n">
        <v>0</v>
      </c>
      <c r="M460" t="n">
        <v>0</v>
      </c>
      <c r="N460" t="n">
        <v>0</v>
      </c>
      <c r="O460" t="n">
        <v>0</v>
      </c>
      <c r="P460" t="n">
        <v>0</v>
      </c>
      <c r="Q460" t="n">
        <v>0</v>
      </c>
      <c r="R460" s="2" t="inlineStr"/>
    </row>
    <row r="461" ht="15" customHeight="1">
      <c r="A461" t="inlineStr">
        <is>
          <t>A 9362-2022</t>
        </is>
      </c>
      <c r="B461" s="1" t="n">
        <v>44616</v>
      </c>
      <c r="C461" s="1" t="n">
        <v>45513</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9392-2022</t>
        </is>
      </c>
      <c r="B462" s="1" t="n">
        <v>44616</v>
      </c>
      <c r="C462" s="1" t="n">
        <v>45513</v>
      </c>
      <c r="D462" t="inlineStr">
        <is>
          <t>ÖREBRO LÄN</t>
        </is>
      </c>
      <c r="E462" t="inlineStr">
        <is>
          <t>ÖREBRO</t>
        </is>
      </c>
      <c r="G462" t="n">
        <v>10.9</v>
      </c>
      <c r="H462" t="n">
        <v>0</v>
      </c>
      <c r="I462" t="n">
        <v>0</v>
      </c>
      <c r="J462" t="n">
        <v>0</v>
      </c>
      <c r="K462" t="n">
        <v>0</v>
      </c>
      <c r="L462" t="n">
        <v>0</v>
      </c>
      <c r="M462" t="n">
        <v>0</v>
      </c>
      <c r="N462" t="n">
        <v>0</v>
      </c>
      <c r="O462" t="n">
        <v>0</v>
      </c>
      <c r="P462" t="n">
        <v>0</v>
      </c>
      <c r="Q462" t="n">
        <v>0</v>
      </c>
      <c r="R462" s="2" t="inlineStr"/>
    </row>
    <row r="463" ht="15" customHeight="1">
      <c r="A463" t="inlineStr">
        <is>
          <t>A 9397-2022</t>
        </is>
      </c>
      <c r="B463" s="1" t="n">
        <v>44616</v>
      </c>
      <c r="C463" s="1" t="n">
        <v>45513</v>
      </c>
      <c r="D463" t="inlineStr">
        <is>
          <t>ÖREBRO LÄN</t>
        </is>
      </c>
      <c r="E463" t="inlineStr">
        <is>
          <t>ÖREBRO</t>
        </is>
      </c>
      <c r="G463" t="n">
        <v>7.9</v>
      </c>
      <c r="H463" t="n">
        <v>0</v>
      </c>
      <c r="I463" t="n">
        <v>0</v>
      </c>
      <c r="J463" t="n">
        <v>0</v>
      </c>
      <c r="K463" t="n">
        <v>0</v>
      </c>
      <c r="L463" t="n">
        <v>0</v>
      </c>
      <c r="M463" t="n">
        <v>0</v>
      </c>
      <c r="N463" t="n">
        <v>0</v>
      </c>
      <c r="O463" t="n">
        <v>0</v>
      </c>
      <c r="P463" t="n">
        <v>0</v>
      </c>
      <c r="Q463" t="n">
        <v>0</v>
      </c>
      <c r="R463" s="2" t="inlineStr"/>
    </row>
    <row r="464" ht="15" customHeight="1">
      <c r="A464" t="inlineStr">
        <is>
          <t>A 10019-2022</t>
        </is>
      </c>
      <c r="B464" s="1" t="n">
        <v>44621</v>
      </c>
      <c r="C464" s="1" t="n">
        <v>45513</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11594-2022</t>
        </is>
      </c>
      <c r="B465" s="1" t="n">
        <v>44631</v>
      </c>
      <c r="C465" s="1" t="n">
        <v>45513</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11899-2022</t>
        </is>
      </c>
      <c r="B466" s="1" t="n">
        <v>44635</v>
      </c>
      <c r="C466" s="1" t="n">
        <v>45513</v>
      </c>
      <c r="D466" t="inlineStr">
        <is>
          <t>ÖREBRO LÄN</t>
        </is>
      </c>
      <c r="E466" t="inlineStr">
        <is>
          <t>ÖREBRO</t>
        </is>
      </c>
      <c r="G466" t="n">
        <v>2.5</v>
      </c>
      <c r="H466" t="n">
        <v>0</v>
      </c>
      <c r="I466" t="n">
        <v>0</v>
      </c>
      <c r="J466" t="n">
        <v>0</v>
      </c>
      <c r="K466" t="n">
        <v>0</v>
      </c>
      <c r="L466" t="n">
        <v>0</v>
      </c>
      <c r="M466" t="n">
        <v>0</v>
      </c>
      <c r="N466" t="n">
        <v>0</v>
      </c>
      <c r="O466" t="n">
        <v>0</v>
      </c>
      <c r="P466" t="n">
        <v>0</v>
      </c>
      <c r="Q466" t="n">
        <v>0</v>
      </c>
      <c r="R466" s="2" t="inlineStr"/>
    </row>
    <row r="467" ht="15" customHeight="1">
      <c r="A467" t="inlineStr">
        <is>
          <t>A 12478-2022</t>
        </is>
      </c>
      <c r="B467" s="1" t="n">
        <v>44638</v>
      </c>
      <c r="C467" s="1" t="n">
        <v>45513</v>
      </c>
      <c r="D467" t="inlineStr">
        <is>
          <t>ÖREBRO LÄN</t>
        </is>
      </c>
      <c r="E467" t="inlineStr">
        <is>
          <t>ÖREBRO</t>
        </is>
      </c>
      <c r="F467" t="inlineStr">
        <is>
          <t>Kyrkan</t>
        </is>
      </c>
      <c r="G467" t="n">
        <v>1.4</v>
      </c>
      <c r="H467" t="n">
        <v>0</v>
      </c>
      <c r="I467" t="n">
        <v>0</v>
      </c>
      <c r="J467" t="n">
        <v>0</v>
      </c>
      <c r="K467" t="n">
        <v>0</v>
      </c>
      <c r="L467" t="n">
        <v>0</v>
      </c>
      <c r="M467" t="n">
        <v>0</v>
      </c>
      <c r="N467" t="n">
        <v>0</v>
      </c>
      <c r="O467" t="n">
        <v>0</v>
      </c>
      <c r="P467" t="n">
        <v>0</v>
      </c>
      <c r="Q467" t="n">
        <v>0</v>
      </c>
      <c r="R467" s="2" t="inlineStr"/>
    </row>
    <row r="468" ht="15" customHeight="1">
      <c r="A468" t="inlineStr">
        <is>
          <t>A 12990-2022</t>
        </is>
      </c>
      <c r="B468" s="1" t="n">
        <v>44643</v>
      </c>
      <c r="C468" s="1" t="n">
        <v>45513</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13045-2022</t>
        </is>
      </c>
      <c r="B469" s="1" t="n">
        <v>44643</v>
      </c>
      <c r="C469" s="1" t="n">
        <v>45513</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13511-2022</t>
        </is>
      </c>
      <c r="B470" s="1" t="n">
        <v>44647</v>
      </c>
      <c r="C470" s="1" t="n">
        <v>45513</v>
      </c>
      <c r="D470" t="inlineStr">
        <is>
          <t>ÖREBRO LÄN</t>
        </is>
      </c>
      <c r="E470" t="inlineStr">
        <is>
          <t>ÖREBRO</t>
        </is>
      </c>
      <c r="G470" t="n">
        <v>3</v>
      </c>
      <c r="H470" t="n">
        <v>0</v>
      </c>
      <c r="I470" t="n">
        <v>0</v>
      </c>
      <c r="J470" t="n">
        <v>0</v>
      </c>
      <c r="K470" t="n">
        <v>0</v>
      </c>
      <c r="L470" t="n">
        <v>0</v>
      </c>
      <c r="M470" t="n">
        <v>0</v>
      </c>
      <c r="N470" t="n">
        <v>0</v>
      </c>
      <c r="O470" t="n">
        <v>0</v>
      </c>
      <c r="P470" t="n">
        <v>0</v>
      </c>
      <c r="Q470" t="n">
        <v>0</v>
      </c>
      <c r="R470" s="2" t="inlineStr"/>
    </row>
    <row r="471" ht="15" customHeight="1">
      <c r="A471" t="inlineStr">
        <is>
          <t>A 13631-2022</t>
        </is>
      </c>
      <c r="B471" s="1" t="n">
        <v>44648</v>
      </c>
      <c r="C471" s="1" t="n">
        <v>45513</v>
      </c>
      <c r="D471" t="inlineStr">
        <is>
          <t>ÖREBRO LÄN</t>
        </is>
      </c>
      <c r="E471" t="inlineStr">
        <is>
          <t>ÖREBRO</t>
        </is>
      </c>
      <c r="G471" t="n">
        <v>10.4</v>
      </c>
      <c r="H471" t="n">
        <v>0</v>
      </c>
      <c r="I471" t="n">
        <v>0</v>
      </c>
      <c r="J471" t="n">
        <v>0</v>
      </c>
      <c r="K471" t="n">
        <v>0</v>
      </c>
      <c r="L471" t="n">
        <v>0</v>
      </c>
      <c r="M471" t="n">
        <v>0</v>
      </c>
      <c r="N471" t="n">
        <v>0</v>
      </c>
      <c r="O471" t="n">
        <v>0</v>
      </c>
      <c r="P471" t="n">
        <v>0</v>
      </c>
      <c r="Q471" t="n">
        <v>0</v>
      </c>
      <c r="R471" s="2" t="inlineStr"/>
    </row>
    <row r="472" ht="15" customHeight="1">
      <c r="A472" t="inlineStr">
        <is>
          <t>A 13856-2022</t>
        </is>
      </c>
      <c r="B472" s="1" t="n">
        <v>44649</v>
      </c>
      <c r="C472" s="1" t="n">
        <v>45513</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13857-2022</t>
        </is>
      </c>
      <c r="B473" s="1" t="n">
        <v>44649</v>
      </c>
      <c r="C473" s="1" t="n">
        <v>45513</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14562-2022</t>
        </is>
      </c>
      <c r="B474" s="1" t="n">
        <v>44655</v>
      </c>
      <c r="C474" s="1" t="n">
        <v>45513</v>
      </c>
      <c r="D474" t="inlineStr">
        <is>
          <t>ÖREBRO LÄN</t>
        </is>
      </c>
      <c r="E474" t="inlineStr">
        <is>
          <t>ÖREBRO</t>
        </is>
      </c>
      <c r="G474" t="n">
        <v>3.6</v>
      </c>
      <c r="H474" t="n">
        <v>0</v>
      </c>
      <c r="I474" t="n">
        <v>0</v>
      </c>
      <c r="J474" t="n">
        <v>0</v>
      </c>
      <c r="K474" t="n">
        <v>0</v>
      </c>
      <c r="L474" t="n">
        <v>0</v>
      </c>
      <c r="M474" t="n">
        <v>0</v>
      </c>
      <c r="N474" t="n">
        <v>0</v>
      </c>
      <c r="O474" t="n">
        <v>0</v>
      </c>
      <c r="P474" t="n">
        <v>0</v>
      </c>
      <c r="Q474" t="n">
        <v>0</v>
      </c>
      <c r="R474" s="2" t="inlineStr"/>
    </row>
    <row r="475" ht="15" customHeight="1">
      <c r="A475" t="inlineStr">
        <is>
          <t>A 14878-2022</t>
        </is>
      </c>
      <c r="B475" s="1" t="n">
        <v>44656</v>
      </c>
      <c r="C475" s="1" t="n">
        <v>45513</v>
      </c>
      <c r="D475" t="inlineStr">
        <is>
          <t>ÖREBRO LÄN</t>
        </is>
      </c>
      <c r="E475" t="inlineStr">
        <is>
          <t>ÖREBRO</t>
        </is>
      </c>
      <c r="G475" t="n">
        <v>5.4</v>
      </c>
      <c r="H475" t="n">
        <v>0</v>
      </c>
      <c r="I475" t="n">
        <v>0</v>
      </c>
      <c r="J475" t="n">
        <v>0</v>
      </c>
      <c r="K475" t="n">
        <v>0</v>
      </c>
      <c r="L475" t="n">
        <v>0</v>
      </c>
      <c r="M475" t="n">
        <v>0</v>
      </c>
      <c r="N475" t="n">
        <v>0</v>
      </c>
      <c r="O475" t="n">
        <v>0</v>
      </c>
      <c r="P475" t="n">
        <v>0</v>
      </c>
      <c r="Q475" t="n">
        <v>0</v>
      </c>
      <c r="R475" s="2" t="inlineStr"/>
    </row>
    <row r="476" ht="15" customHeight="1">
      <c r="A476" t="inlineStr">
        <is>
          <t>A 14877-2022</t>
        </is>
      </c>
      <c r="B476" s="1" t="n">
        <v>44656</v>
      </c>
      <c r="C476" s="1" t="n">
        <v>45513</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15424-2022</t>
        </is>
      </c>
      <c r="B477" s="1" t="n">
        <v>44659</v>
      </c>
      <c r="C477" s="1" t="n">
        <v>45513</v>
      </c>
      <c r="D477" t="inlineStr">
        <is>
          <t>ÖREBRO LÄN</t>
        </is>
      </c>
      <c r="E477" t="inlineStr">
        <is>
          <t>ÖREBRO</t>
        </is>
      </c>
      <c r="G477" t="n">
        <v>2.2</v>
      </c>
      <c r="H477" t="n">
        <v>0</v>
      </c>
      <c r="I477" t="n">
        <v>0</v>
      </c>
      <c r="J477" t="n">
        <v>0</v>
      </c>
      <c r="K477" t="n">
        <v>0</v>
      </c>
      <c r="L477" t="n">
        <v>0</v>
      </c>
      <c r="M477" t="n">
        <v>0</v>
      </c>
      <c r="N477" t="n">
        <v>0</v>
      </c>
      <c r="O477" t="n">
        <v>0</v>
      </c>
      <c r="P477" t="n">
        <v>0</v>
      </c>
      <c r="Q477" t="n">
        <v>0</v>
      </c>
      <c r="R477" s="2" t="inlineStr"/>
    </row>
    <row r="478" ht="15" customHeight="1">
      <c r="A478" t="inlineStr">
        <is>
          <t>A 15422-2022</t>
        </is>
      </c>
      <c r="B478" s="1" t="n">
        <v>44659</v>
      </c>
      <c r="C478" s="1" t="n">
        <v>45513</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15624-2022</t>
        </is>
      </c>
      <c r="B479" s="1" t="n">
        <v>44662</v>
      </c>
      <c r="C479" s="1" t="n">
        <v>45513</v>
      </c>
      <c r="D479" t="inlineStr">
        <is>
          <t>ÖREBRO LÄN</t>
        </is>
      </c>
      <c r="E479" t="inlineStr">
        <is>
          <t>ÖREBRO</t>
        </is>
      </c>
      <c r="F479" t="inlineStr">
        <is>
          <t>Övriga Aktiebolag</t>
        </is>
      </c>
      <c r="G479" t="n">
        <v>18.8</v>
      </c>
      <c r="H479" t="n">
        <v>0</v>
      </c>
      <c r="I479" t="n">
        <v>0</v>
      </c>
      <c r="J479" t="n">
        <v>0</v>
      </c>
      <c r="K479" t="n">
        <v>0</v>
      </c>
      <c r="L479" t="n">
        <v>0</v>
      </c>
      <c r="M479" t="n">
        <v>0</v>
      </c>
      <c r="N479" t="n">
        <v>0</v>
      </c>
      <c r="O479" t="n">
        <v>0</v>
      </c>
      <c r="P479" t="n">
        <v>0</v>
      </c>
      <c r="Q479" t="n">
        <v>0</v>
      </c>
      <c r="R479" s="2" t="inlineStr"/>
    </row>
    <row r="480" ht="15" customHeight="1">
      <c r="A480" t="inlineStr">
        <is>
          <t>A 15896-2022</t>
        </is>
      </c>
      <c r="B480" s="1" t="n">
        <v>44664</v>
      </c>
      <c r="C480" s="1" t="n">
        <v>45513</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15866-2022</t>
        </is>
      </c>
      <c r="B481" s="1" t="n">
        <v>44664</v>
      </c>
      <c r="C481" s="1" t="n">
        <v>45513</v>
      </c>
      <c r="D481" t="inlineStr">
        <is>
          <t>ÖREBRO LÄN</t>
        </is>
      </c>
      <c r="E481" t="inlineStr">
        <is>
          <t>ÖREBRO</t>
        </is>
      </c>
      <c r="G481" t="n">
        <v>4</v>
      </c>
      <c r="H481" t="n">
        <v>0</v>
      </c>
      <c r="I481" t="n">
        <v>0</v>
      </c>
      <c r="J481" t="n">
        <v>0</v>
      </c>
      <c r="K481" t="n">
        <v>0</v>
      </c>
      <c r="L481" t="n">
        <v>0</v>
      </c>
      <c r="M481" t="n">
        <v>0</v>
      </c>
      <c r="N481" t="n">
        <v>0</v>
      </c>
      <c r="O481" t="n">
        <v>0</v>
      </c>
      <c r="P481" t="n">
        <v>0</v>
      </c>
      <c r="Q481" t="n">
        <v>0</v>
      </c>
      <c r="R481" s="2" t="inlineStr"/>
    </row>
    <row r="482" ht="15" customHeight="1">
      <c r="A482" t="inlineStr">
        <is>
          <t>A 16094-2022</t>
        </is>
      </c>
      <c r="B482" s="1" t="n">
        <v>44665</v>
      </c>
      <c r="C482" s="1" t="n">
        <v>45513</v>
      </c>
      <c r="D482" t="inlineStr">
        <is>
          <t>ÖREBRO LÄN</t>
        </is>
      </c>
      <c r="E482" t="inlineStr">
        <is>
          <t>ÖREBRO</t>
        </is>
      </c>
      <c r="F482" t="inlineStr">
        <is>
          <t>Allmännings- och besparingsskogar</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16258-2022</t>
        </is>
      </c>
      <c r="B483" s="1" t="n">
        <v>44670</v>
      </c>
      <c r="C483" s="1" t="n">
        <v>45513</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16261-2022</t>
        </is>
      </c>
      <c r="B484" s="1" t="n">
        <v>44670</v>
      </c>
      <c r="C484" s="1" t="n">
        <v>45513</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16300-2022</t>
        </is>
      </c>
      <c r="B485" s="1" t="n">
        <v>44670</v>
      </c>
      <c r="C485" s="1" t="n">
        <v>45513</v>
      </c>
      <c r="D485" t="inlineStr">
        <is>
          <t>ÖREBRO LÄN</t>
        </is>
      </c>
      <c r="E485" t="inlineStr">
        <is>
          <t>ÖREBRO</t>
        </is>
      </c>
      <c r="G485" t="n">
        <v>0.8</v>
      </c>
      <c r="H485" t="n">
        <v>0</v>
      </c>
      <c r="I485" t="n">
        <v>0</v>
      </c>
      <c r="J485" t="n">
        <v>0</v>
      </c>
      <c r="K485" t="n">
        <v>0</v>
      </c>
      <c r="L485" t="n">
        <v>0</v>
      </c>
      <c r="M485" t="n">
        <v>0</v>
      </c>
      <c r="N485" t="n">
        <v>0</v>
      </c>
      <c r="O485" t="n">
        <v>0</v>
      </c>
      <c r="P485" t="n">
        <v>0</v>
      </c>
      <c r="Q485" t="n">
        <v>0</v>
      </c>
      <c r="R485" s="2" t="inlineStr"/>
    </row>
    <row r="486" ht="15" customHeight="1">
      <c r="A486" t="inlineStr">
        <is>
          <t>A 16374-2022</t>
        </is>
      </c>
      <c r="B486" s="1" t="n">
        <v>44671</v>
      </c>
      <c r="C486" s="1" t="n">
        <v>45513</v>
      </c>
      <c r="D486" t="inlineStr">
        <is>
          <t>ÖREBRO LÄN</t>
        </is>
      </c>
      <c r="E486" t="inlineStr">
        <is>
          <t>ÖREBRO</t>
        </is>
      </c>
      <c r="F486" t="inlineStr">
        <is>
          <t>Övriga Aktiebolag</t>
        </is>
      </c>
      <c r="G486" t="n">
        <v>30.3</v>
      </c>
      <c r="H486" t="n">
        <v>0</v>
      </c>
      <c r="I486" t="n">
        <v>0</v>
      </c>
      <c r="J486" t="n">
        <v>0</v>
      </c>
      <c r="K486" t="n">
        <v>0</v>
      </c>
      <c r="L486" t="n">
        <v>0</v>
      </c>
      <c r="M486" t="n">
        <v>0</v>
      </c>
      <c r="N486" t="n">
        <v>0</v>
      </c>
      <c r="O486" t="n">
        <v>0</v>
      </c>
      <c r="P486" t="n">
        <v>0</v>
      </c>
      <c r="Q486" t="n">
        <v>0</v>
      </c>
      <c r="R486" s="2" t="inlineStr"/>
    </row>
    <row r="487" ht="15" customHeight="1">
      <c r="A487" t="inlineStr">
        <is>
          <t>A 16759-2022</t>
        </is>
      </c>
      <c r="B487" s="1" t="n">
        <v>44673</v>
      </c>
      <c r="C487" s="1" t="n">
        <v>45513</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16732-2022</t>
        </is>
      </c>
      <c r="B488" s="1" t="n">
        <v>44673</v>
      </c>
      <c r="C488" s="1" t="n">
        <v>45513</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16739-2022</t>
        </is>
      </c>
      <c r="B489" s="1" t="n">
        <v>44673</v>
      </c>
      <c r="C489" s="1" t="n">
        <v>45513</v>
      </c>
      <c r="D489" t="inlineStr">
        <is>
          <t>ÖREBRO LÄN</t>
        </is>
      </c>
      <c r="E489" t="inlineStr">
        <is>
          <t>ÖREBRO</t>
        </is>
      </c>
      <c r="G489" t="n">
        <v>4.7</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v>
      </c>
      <c r="C490" s="1" t="n">
        <v>45513</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16969-2022</t>
        </is>
      </c>
      <c r="B491" s="1" t="n">
        <v>44676</v>
      </c>
      <c r="C491" s="1" t="n">
        <v>45513</v>
      </c>
      <c r="D491" t="inlineStr">
        <is>
          <t>ÖREBRO LÄN</t>
        </is>
      </c>
      <c r="E491" t="inlineStr">
        <is>
          <t>ÖREBRO</t>
        </is>
      </c>
      <c r="G491" t="n">
        <v>4.2</v>
      </c>
      <c r="H491" t="n">
        <v>0</v>
      </c>
      <c r="I491" t="n">
        <v>0</v>
      </c>
      <c r="J491" t="n">
        <v>0</v>
      </c>
      <c r="K491" t="n">
        <v>0</v>
      </c>
      <c r="L491" t="n">
        <v>0</v>
      </c>
      <c r="M491" t="n">
        <v>0</v>
      </c>
      <c r="N491" t="n">
        <v>0</v>
      </c>
      <c r="O491" t="n">
        <v>0</v>
      </c>
      <c r="P491" t="n">
        <v>0</v>
      </c>
      <c r="Q491" t="n">
        <v>0</v>
      </c>
      <c r="R491" s="2" t="inlineStr"/>
    </row>
    <row r="492" ht="15" customHeight="1">
      <c r="A492" t="inlineStr">
        <is>
          <t>A 16961-2022</t>
        </is>
      </c>
      <c r="B492" s="1" t="n">
        <v>44676</v>
      </c>
      <c r="C492" s="1" t="n">
        <v>45513</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17840-2022</t>
        </is>
      </c>
      <c r="B493" s="1" t="n">
        <v>44683</v>
      </c>
      <c r="C493" s="1" t="n">
        <v>45513</v>
      </c>
      <c r="D493" t="inlineStr">
        <is>
          <t>ÖREBRO LÄN</t>
        </is>
      </c>
      <c r="E493" t="inlineStr">
        <is>
          <t>ÖREBRO</t>
        </is>
      </c>
      <c r="G493" t="n">
        <v>3.7</v>
      </c>
      <c r="H493" t="n">
        <v>0</v>
      </c>
      <c r="I493" t="n">
        <v>0</v>
      </c>
      <c r="J493" t="n">
        <v>0</v>
      </c>
      <c r="K493" t="n">
        <v>0</v>
      </c>
      <c r="L493" t="n">
        <v>0</v>
      </c>
      <c r="M493" t="n">
        <v>0</v>
      </c>
      <c r="N493" t="n">
        <v>0</v>
      </c>
      <c r="O493" t="n">
        <v>0</v>
      </c>
      <c r="P493" t="n">
        <v>0</v>
      </c>
      <c r="Q493" t="n">
        <v>0</v>
      </c>
      <c r="R493" s="2" t="inlineStr"/>
    </row>
    <row r="494" ht="15" customHeight="1">
      <c r="A494" t="inlineStr">
        <is>
          <t>A 18047-2022</t>
        </is>
      </c>
      <c r="B494" s="1" t="n">
        <v>44684</v>
      </c>
      <c r="C494" s="1" t="n">
        <v>45513</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18321-2022</t>
        </is>
      </c>
      <c r="B495" s="1" t="n">
        <v>44685</v>
      </c>
      <c r="C495" s="1" t="n">
        <v>45513</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18498-2022</t>
        </is>
      </c>
      <c r="B496" s="1" t="n">
        <v>44686</v>
      </c>
      <c r="C496" s="1" t="n">
        <v>45513</v>
      </c>
      <c r="D496" t="inlineStr">
        <is>
          <t>ÖREBRO LÄN</t>
        </is>
      </c>
      <c r="E496" t="inlineStr">
        <is>
          <t>ÖREBRO</t>
        </is>
      </c>
      <c r="G496" t="n">
        <v>2.7</v>
      </c>
      <c r="H496" t="n">
        <v>0</v>
      </c>
      <c r="I496" t="n">
        <v>0</v>
      </c>
      <c r="J496" t="n">
        <v>0</v>
      </c>
      <c r="K496" t="n">
        <v>0</v>
      </c>
      <c r="L496" t="n">
        <v>0</v>
      </c>
      <c r="M496" t="n">
        <v>0</v>
      </c>
      <c r="N496" t="n">
        <v>0</v>
      </c>
      <c r="O496" t="n">
        <v>0</v>
      </c>
      <c r="P496" t="n">
        <v>0</v>
      </c>
      <c r="Q496" t="n">
        <v>0</v>
      </c>
      <c r="R496" s="2" t="inlineStr"/>
    </row>
    <row r="497" ht="15" customHeight="1">
      <c r="A497" t="inlineStr">
        <is>
          <t>A 18674-2022</t>
        </is>
      </c>
      <c r="B497" s="1" t="n">
        <v>44687</v>
      </c>
      <c r="C497" s="1" t="n">
        <v>45513</v>
      </c>
      <c r="D497" t="inlineStr">
        <is>
          <t>ÖREBRO LÄN</t>
        </is>
      </c>
      <c r="E497" t="inlineStr">
        <is>
          <t>ÖREBRO</t>
        </is>
      </c>
      <c r="G497" t="n">
        <v>0.3</v>
      </c>
      <c r="H497" t="n">
        <v>0</v>
      </c>
      <c r="I497" t="n">
        <v>0</v>
      </c>
      <c r="J497" t="n">
        <v>0</v>
      </c>
      <c r="K497" t="n">
        <v>0</v>
      </c>
      <c r="L497" t="n">
        <v>0</v>
      </c>
      <c r="M497" t="n">
        <v>0</v>
      </c>
      <c r="N497" t="n">
        <v>0</v>
      </c>
      <c r="O497" t="n">
        <v>0</v>
      </c>
      <c r="P497" t="n">
        <v>0</v>
      </c>
      <c r="Q497" t="n">
        <v>0</v>
      </c>
      <c r="R497" s="2" t="inlineStr"/>
    </row>
    <row r="498" ht="15" customHeight="1">
      <c r="A498" t="inlineStr">
        <is>
          <t>A 19049-2022</t>
        </is>
      </c>
      <c r="B498" s="1" t="n">
        <v>44691</v>
      </c>
      <c r="C498" s="1" t="n">
        <v>45513</v>
      </c>
      <c r="D498" t="inlineStr">
        <is>
          <t>ÖREBRO LÄN</t>
        </is>
      </c>
      <c r="E498" t="inlineStr">
        <is>
          <t>ÖREBRO</t>
        </is>
      </c>
      <c r="G498" t="n">
        <v>3.5</v>
      </c>
      <c r="H498" t="n">
        <v>0</v>
      </c>
      <c r="I498" t="n">
        <v>0</v>
      </c>
      <c r="J498" t="n">
        <v>0</v>
      </c>
      <c r="K498" t="n">
        <v>0</v>
      </c>
      <c r="L498" t="n">
        <v>0</v>
      </c>
      <c r="M498" t="n">
        <v>0</v>
      </c>
      <c r="N498" t="n">
        <v>0</v>
      </c>
      <c r="O498" t="n">
        <v>0</v>
      </c>
      <c r="P498" t="n">
        <v>0</v>
      </c>
      <c r="Q498" t="n">
        <v>0</v>
      </c>
      <c r="R498" s="2" t="inlineStr"/>
    </row>
    <row r="499" ht="15" customHeight="1">
      <c r="A499" t="inlineStr">
        <is>
          <t>A 19458-2022</t>
        </is>
      </c>
      <c r="B499" s="1" t="n">
        <v>44693</v>
      </c>
      <c r="C499" s="1" t="n">
        <v>45513</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19832-2022</t>
        </is>
      </c>
      <c r="B500" s="1" t="n">
        <v>44695</v>
      </c>
      <c r="C500" s="1" t="n">
        <v>45513</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19863-2022</t>
        </is>
      </c>
      <c r="B501" s="1" t="n">
        <v>44696</v>
      </c>
      <c r="C501" s="1" t="n">
        <v>45513</v>
      </c>
      <c r="D501" t="inlineStr">
        <is>
          <t>ÖREBRO LÄN</t>
        </is>
      </c>
      <c r="E501" t="inlineStr">
        <is>
          <t>ÖREBRO</t>
        </is>
      </c>
      <c r="G501" t="n">
        <v>4.6</v>
      </c>
      <c r="H501" t="n">
        <v>0</v>
      </c>
      <c r="I501" t="n">
        <v>0</v>
      </c>
      <c r="J501" t="n">
        <v>0</v>
      </c>
      <c r="K501" t="n">
        <v>0</v>
      </c>
      <c r="L501" t="n">
        <v>0</v>
      </c>
      <c r="M501" t="n">
        <v>0</v>
      </c>
      <c r="N501" t="n">
        <v>0</v>
      </c>
      <c r="O501" t="n">
        <v>0</v>
      </c>
      <c r="P501" t="n">
        <v>0</v>
      </c>
      <c r="Q501" t="n">
        <v>0</v>
      </c>
      <c r="R501" s="2" t="inlineStr"/>
    </row>
    <row r="502" ht="15" customHeight="1">
      <c r="A502" t="inlineStr">
        <is>
          <t>A 20922-2022</t>
        </is>
      </c>
      <c r="B502" s="1" t="n">
        <v>44701</v>
      </c>
      <c r="C502" s="1" t="n">
        <v>45513</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21109-2022</t>
        </is>
      </c>
      <c r="B503" s="1" t="n">
        <v>44704</v>
      </c>
      <c r="C503" s="1" t="n">
        <v>45513</v>
      </c>
      <c r="D503" t="inlineStr">
        <is>
          <t>ÖREBRO LÄN</t>
        </is>
      </c>
      <c r="E503" t="inlineStr">
        <is>
          <t>ÖREBRO</t>
        </is>
      </c>
      <c r="G503" t="n">
        <v>3.2</v>
      </c>
      <c r="H503" t="n">
        <v>0</v>
      </c>
      <c r="I503" t="n">
        <v>0</v>
      </c>
      <c r="J503" t="n">
        <v>0</v>
      </c>
      <c r="K503" t="n">
        <v>0</v>
      </c>
      <c r="L503" t="n">
        <v>0</v>
      </c>
      <c r="M503" t="n">
        <v>0</v>
      </c>
      <c r="N503" t="n">
        <v>0</v>
      </c>
      <c r="O503" t="n">
        <v>0</v>
      </c>
      <c r="P503" t="n">
        <v>0</v>
      </c>
      <c r="Q503" t="n">
        <v>0</v>
      </c>
      <c r="R503" s="2" t="inlineStr"/>
    </row>
    <row r="504" ht="15" customHeight="1">
      <c r="A504" t="inlineStr">
        <is>
          <t>A 21567-2022</t>
        </is>
      </c>
      <c r="B504" s="1" t="n">
        <v>44706</v>
      </c>
      <c r="C504" s="1" t="n">
        <v>45513</v>
      </c>
      <c r="D504" t="inlineStr">
        <is>
          <t>ÖREBRO LÄN</t>
        </is>
      </c>
      <c r="E504" t="inlineStr">
        <is>
          <t>ÖREBRO</t>
        </is>
      </c>
      <c r="F504" t="inlineStr">
        <is>
          <t>Övriga Aktiebolag</t>
        </is>
      </c>
      <c r="G504" t="n">
        <v>1</v>
      </c>
      <c r="H504" t="n">
        <v>0</v>
      </c>
      <c r="I504" t="n">
        <v>0</v>
      </c>
      <c r="J504" t="n">
        <v>0</v>
      </c>
      <c r="K504" t="n">
        <v>0</v>
      </c>
      <c r="L504" t="n">
        <v>0</v>
      </c>
      <c r="M504" t="n">
        <v>0</v>
      </c>
      <c r="N504" t="n">
        <v>0</v>
      </c>
      <c r="O504" t="n">
        <v>0</v>
      </c>
      <c r="P504" t="n">
        <v>0</v>
      </c>
      <c r="Q504" t="n">
        <v>0</v>
      </c>
      <c r="R504" s="2" t="inlineStr"/>
    </row>
    <row r="505" ht="15" customHeight="1">
      <c r="A505" t="inlineStr">
        <is>
          <t>A 22153-2022</t>
        </is>
      </c>
      <c r="B505" s="1" t="n">
        <v>44712</v>
      </c>
      <c r="C505" s="1" t="n">
        <v>45513</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22677-2022</t>
        </is>
      </c>
      <c r="B506" s="1" t="n">
        <v>44714</v>
      </c>
      <c r="C506" s="1" t="n">
        <v>45513</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row>
    <row r="507" ht="15" customHeight="1">
      <c r="A507" t="inlineStr">
        <is>
          <t>A 23459-2022</t>
        </is>
      </c>
      <c r="B507" s="1" t="n">
        <v>44721</v>
      </c>
      <c r="C507" s="1" t="n">
        <v>45513</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23710-2022</t>
        </is>
      </c>
      <c r="B508" s="1" t="n">
        <v>44722</v>
      </c>
      <c r="C508" s="1" t="n">
        <v>45513</v>
      </c>
      <c r="D508" t="inlineStr">
        <is>
          <t>ÖREBRO LÄN</t>
        </is>
      </c>
      <c r="E508" t="inlineStr">
        <is>
          <t>ÖREBRO</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23741-2022</t>
        </is>
      </c>
      <c r="B509" s="1" t="n">
        <v>44722</v>
      </c>
      <c r="C509" s="1" t="n">
        <v>45513</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23939-2022</t>
        </is>
      </c>
      <c r="B510" s="1" t="n">
        <v>44722</v>
      </c>
      <c r="C510" s="1" t="n">
        <v>45513</v>
      </c>
      <c r="D510" t="inlineStr">
        <is>
          <t>ÖREBRO LÄN</t>
        </is>
      </c>
      <c r="E510" t="inlineStr">
        <is>
          <t>ÖREBRO</t>
        </is>
      </c>
      <c r="G510" t="n">
        <v>5.5</v>
      </c>
      <c r="H510" t="n">
        <v>0</v>
      </c>
      <c r="I510" t="n">
        <v>0</v>
      </c>
      <c r="J510" t="n">
        <v>0</v>
      </c>
      <c r="K510" t="n">
        <v>0</v>
      </c>
      <c r="L510" t="n">
        <v>0</v>
      </c>
      <c r="M510" t="n">
        <v>0</v>
      </c>
      <c r="N510" t="n">
        <v>0</v>
      </c>
      <c r="O510" t="n">
        <v>0</v>
      </c>
      <c r="P510" t="n">
        <v>0</v>
      </c>
      <c r="Q510" t="n">
        <v>0</v>
      </c>
      <c r="R510" s="2" t="inlineStr"/>
    </row>
    <row r="511" ht="15" customHeight="1">
      <c r="A511" t="inlineStr">
        <is>
          <t>A 24672-2022</t>
        </is>
      </c>
      <c r="B511" s="1" t="n">
        <v>44727</v>
      </c>
      <c r="C511" s="1" t="n">
        <v>45513</v>
      </c>
      <c r="D511" t="inlineStr">
        <is>
          <t>ÖREBRO LÄN</t>
        </is>
      </c>
      <c r="E511" t="inlineStr">
        <is>
          <t>ÖREBRO</t>
        </is>
      </c>
      <c r="G511" t="n">
        <v>6.9</v>
      </c>
      <c r="H511" t="n">
        <v>0</v>
      </c>
      <c r="I511" t="n">
        <v>0</v>
      </c>
      <c r="J511" t="n">
        <v>0</v>
      </c>
      <c r="K511" t="n">
        <v>0</v>
      </c>
      <c r="L511" t="n">
        <v>0</v>
      </c>
      <c r="M511" t="n">
        <v>0</v>
      </c>
      <c r="N511" t="n">
        <v>0</v>
      </c>
      <c r="O511" t="n">
        <v>0</v>
      </c>
      <c r="P511" t="n">
        <v>0</v>
      </c>
      <c r="Q511" t="n">
        <v>0</v>
      </c>
      <c r="R511" s="2" t="inlineStr"/>
    </row>
    <row r="512" ht="15" customHeight="1">
      <c r="A512" t="inlineStr">
        <is>
          <t>A 25597-2022</t>
        </is>
      </c>
      <c r="B512" s="1" t="n">
        <v>44732</v>
      </c>
      <c r="C512" s="1" t="n">
        <v>45513</v>
      </c>
      <c r="D512" t="inlineStr">
        <is>
          <t>ÖREBRO LÄN</t>
        </is>
      </c>
      <c r="E512" t="inlineStr">
        <is>
          <t>ÖREBRO</t>
        </is>
      </c>
      <c r="G512" t="n">
        <v>2.6</v>
      </c>
      <c r="H512" t="n">
        <v>0</v>
      </c>
      <c r="I512" t="n">
        <v>0</v>
      </c>
      <c r="J512" t="n">
        <v>0</v>
      </c>
      <c r="K512" t="n">
        <v>0</v>
      </c>
      <c r="L512" t="n">
        <v>0</v>
      </c>
      <c r="M512" t="n">
        <v>0</v>
      </c>
      <c r="N512" t="n">
        <v>0</v>
      </c>
      <c r="O512" t="n">
        <v>0</v>
      </c>
      <c r="P512" t="n">
        <v>0</v>
      </c>
      <c r="Q512" t="n">
        <v>0</v>
      </c>
      <c r="R512" s="2" t="inlineStr"/>
    </row>
    <row r="513" ht="15" customHeight="1">
      <c r="A513" t="inlineStr">
        <is>
          <t>A 25746-2022</t>
        </is>
      </c>
      <c r="B513" s="1" t="n">
        <v>44733</v>
      </c>
      <c r="C513" s="1" t="n">
        <v>45513</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26101-2022</t>
        </is>
      </c>
      <c r="B514" s="1" t="n">
        <v>44734</v>
      </c>
      <c r="C514" s="1" t="n">
        <v>45513</v>
      </c>
      <c r="D514" t="inlineStr">
        <is>
          <t>ÖREBRO LÄN</t>
        </is>
      </c>
      <c r="E514" t="inlineStr">
        <is>
          <t>ÖREBRO</t>
        </is>
      </c>
      <c r="G514" t="n">
        <v>15.8</v>
      </c>
      <c r="H514" t="n">
        <v>0</v>
      </c>
      <c r="I514" t="n">
        <v>0</v>
      </c>
      <c r="J514" t="n">
        <v>0</v>
      </c>
      <c r="K514" t="n">
        <v>0</v>
      </c>
      <c r="L514" t="n">
        <v>0</v>
      </c>
      <c r="M514" t="n">
        <v>0</v>
      </c>
      <c r="N514" t="n">
        <v>0</v>
      </c>
      <c r="O514" t="n">
        <v>0</v>
      </c>
      <c r="P514" t="n">
        <v>0</v>
      </c>
      <c r="Q514" t="n">
        <v>0</v>
      </c>
      <c r="R514" s="2" t="inlineStr"/>
    </row>
    <row r="515" ht="15" customHeight="1">
      <c r="A515" t="inlineStr">
        <is>
          <t>A 28054-2022</t>
        </is>
      </c>
      <c r="B515" s="1" t="n">
        <v>44746</v>
      </c>
      <c r="C515" s="1" t="n">
        <v>45513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28706-2022</t>
        </is>
      </c>
      <c r="B516" s="1" t="n">
        <v>44748</v>
      </c>
      <c r="C516" s="1" t="n">
        <v>45513</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29108-2022</t>
        </is>
      </c>
      <c r="B517" s="1" t="n">
        <v>44750</v>
      </c>
      <c r="C517" s="1" t="n">
        <v>45513</v>
      </c>
      <c r="D517" t="inlineStr">
        <is>
          <t>ÖREBRO LÄN</t>
        </is>
      </c>
      <c r="E517" t="inlineStr">
        <is>
          <t>ÖREBRO</t>
        </is>
      </c>
      <c r="G517" t="n">
        <v>5.1</v>
      </c>
      <c r="H517" t="n">
        <v>0</v>
      </c>
      <c r="I517" t="n">
        <v>0</v>
      </c>
      <c r="J517" t="n">
        <v>0</v>
      </c>
      <c r="K517" t="n">
        <v>0</v>
      </c>
      <c r="L517" t="n">
        <v>0</v>
      </c>
      <c r="M517" t="n">
        <v>0</v>
      </c>
      <c r="N517" t="n">
        <v>0</v>
      </c>
      <c r="O517" t="n">
        <v>0</v>
      </c>
      <c r="P517" t="n">
        <v>0</v>
      </c>
      <c r="Q517" t="n">
        <v>0</v>
      </c>
      <c r="R517" s="2" t="inlineStr"/>
    </row>
    <row r="518" ht="15" customHeight="1">
      <c r="A518" t="inlineStr">
        <is>
          <t>A 29138-2022</t>
        </is>
      </c>
      <c r="B518" s="1" t="n">
        <v>44750</v>
      </c>
      <c r="C518" s="1" t="n">
        <v>45513</v>
      </c>
      <c r="D518" t="inlineStr">
        <is>
          <t>ÖREBRO LÄN</t>
        </is>
      </c>
      <c r="E518" t="inlineStr">
        <is>
          <t>ÖREBRO</t>
        </is>
      </c>
      <c r="G518" t="n">
        <v>3.3</v>
      </c>
      <c r="H518" t="n">
        <v>0</v>
      </c>
      <c r="I518" t="n">
        <v>0</v>
      </c>
      <c r="J518" t="n">
        <v>0</v>
      </c>
      <c r="K518" t="n">
        <v>0</v>
      </c>
      <c r="L518" t="n">
        <v>0</v>
      </c>
      <c r="M518" t="n">
        <v>0</v>
      </c>
      <c r="N518" t="n">
        <v>0</v>
      </c>
      <c r="O518" t="n">
        <v>0</v>
      </c>
      <c r="P518" t="n">
        <v>0</v>
      </c>
      <c r="Q518" t="n">
        <v>0</v>
      </c>
      <c r="R518" s="2" t="inlineStr"/>
    </row>
    <row r="519" ht="15" customHeight="1">
      <c r="A519" t="inlineStr">
        <is>
          <t>A 29243-2022</t>
        </is>
      </c>
      <c r="B519" s="1" t="n">
        <v>44750</v>
      </c>
      <c r="C519" s="1" t="n">
        <v>45513</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29246-2022</t>
        </is>
      </c>
      <c r="B520" s="1" t="n">
        <v>44750</v>
      </c>
      <c r="C520" s="1" t="n">
        <v>45513</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29143-2022</t>
        </is>
      </c>
      <c r="B521" s="1" t="n">
        <v>44750</v>
      </c>
      <c r="C521" s="1" t="n">
        <v>45513</v>
      </c>
      <c r="D521" t="inlineStr">
        <is>
          <t>ÖREBRO LÄN</t>
        </is>
      </c>
      <c r="E521" t="inlineStr">
        <is>
          <t>ÖREBRO</t>
        </is>
      </c>
      <c r="G521" t="n">
        <v>5.6</v>
      </c>
      <c r="H521" t="n">
        <v>0</v>
      </c>
      <c r="I521" t="n">
        <v>0</v>
      </c>
      <c r="J521" t="n">
        <v>0</v>
      </c>
      <c r="K521" t="n">
        <v>0</v>
      </c>
      <c r="L521" t="n">
        <v>0</v>
      </c>
      <c r="M521" t="n">
        <v>0</v>
      </c>
      <c r="N521" t="n">
        <v>0</v>
      </c>
      <c r="O521" t="n">
        <v>0</v>
      </c>
      <c r="P521" t="n">
        <v>0</v>
      </c>
      <c r="Q521" t="n">
        <v>0</v>
      </c>
      <c r="R521" s="2" t="inlineStr"/>
    </row>
    <row r="522" ht="15" customHeight="1">
      <c r="A522" t="inlineStr">
        <is>
          <t>A 29490-2022</t>
        </is>
      </c>
      <c r="B522" s="1" t="n">
        <v>44753</v>
      </c>
      <c r="C522" s="1" t="n">
        <v>45513</v>
      </c>
      <c r="D522" t="inlineStr">
        <is>
          <t>ÖREBRO LÄN</t>
        </is>
      </c>
      <c r="E522" t="inlineStr">
        <is>
          <t>ÖREBRO</t>
        </is>
      </c>
      <c r="F522" t="inlineStr">
        <is>
          <t>Kommuner</t>
        </is>
      </c>
      <c r="G522" t="n">
        <v>0.3</v>
      </c>
      <c r="H522" t="n">
        <v>0</v>
      </c>
      <c r="I522" t="n">
        <v>0</v>
      </c>
      <c r="J522" t="n">
        <v>0</v>
      </c>
      <c r="K522" t="n">
        <v>0</v>
      </c>
      <c r="L522" t="n">
        <v>0</v>
      </c>
      <c r="M522" t="n">
        <v>0</v>
      </c>
      <c r="N522" t="n">
        <v>0</v>
      </c>
      <c r="O522" t="n">
        <v>0</v>
      </c>
      <c r="P522" t="n">
        <v>0</v>
      </c>
      <c r="Q522" t="n">
        <v>0</v>
      </c>
      <c r="R522" s="2" t="inlineStr"/>
    </row>
    <row r="523" ht="15" customHeight="1">
      <c r="A523" t="inlineStr">
        <is>
          <t>A 29751-2022</t>
        </is>
      </c>
      <c r="B523" s="1" t="n">
        <v>44755</v>
      </c>
      <c r="C523" s="1" t="n">
        <v>45513</v>
      </c>
      <c r="D523" t="inlineStr">
        <is>
          <t>ÖREBRO LÄN</t>
        </is>
      </c>
      <c r="E523" t="inlineStr">
        <is>
          <t>ÖREBRO</t>
        </is>
      </c>
      <c r="G523" t="n">
        <v>4.2</v>
      </c>
      <c r="H523" t="n">
        <v>0</v>
      </c>
      <c r="I523" t="n">
        <v>0</v>
      </c>
      <c r="J523" t="n">
        <v>0</v>
      </c>
      <c r="K523" t="n">
        <v>0</v>
      </c>
      <c r="L523" t="n">
        <v>0</v>
      </c>
      <c r="M523" t="n">
        <v>0</v>
      </c>
      <c r="N523" t="n">
        <v>0</v>
      </c>
      <c r="O523" t="n">
        <v>0</v>
      </c>
      <c r="P523" t="n">
        <v>0</v>
      </c>
      <c r="Q523" t="n">
        <v>0</v>
      </c>
      <c r="R523" s="2" t="inlineStr"/>
    </row>
    <row r="524" ht="15" customHeight="1">
      <c r="A524" t="inlineStr">
        <is>
          <t>A 30472-2022</t>
        </is>
      </c>
      <c r="B524" s="1" t="n">
        <v>44761</v>
      </c>
      <c r="C524" s="1" t="n">
        <v>45513</v>
      </c>
      <c r="D524" t="inlineStr">
        <is>
          <t>ÖREBRO LÄN</t>
        </is>
      </c>
      <c r="E524" t="inlineStr">
        <is>
          <t>ÖREBRO</t>
        </is>
      </c>
      <c r="F524" t="inlineStr">
        <is>
          <t>Övriga Aktiebolag</t>
        </is>
      </c>
      <c r="G524" t="n">
        <v>5.6</v>
      </c>
      <c r="H524" t="n">
        <v>0</v>
      </c>
      <c r="I524" t="n">
        <v>0</v>
      </c>
      <c r="J524" t="n">
        <v>0</v>
      </c>
      <c r="K524" t="n">
        <v>0</v>
      </c>
      <c r="L524" t="n">
        <v>0</v>
      </c>
      <c r="M524" t="n">
        <v>0</v>
      </c>
      <c r="N524" t="n">
        <v>0</v>
      </c>
      <c r="O524" t="n">
        <v>0</v>
      </c>
      <c r="P524" t="n">
        <v>0</v>
      </c>
      <c r="Q524" t="n">
        <v>0</v>
      </c>
      <c r="R524" s="2" t="inlineStr"/>
    </row>
    <row r="525" ht="15" customHeight="1">
      <c r="A525" t="inlineStr">
        <is>
          <t>A 30760-2022</t>
        </is>
      </c>
      <c r="B525" s="1" t="n">
        <v>44764</v>
      </c>
      <c r="C525" s="1" t="n">
        <v>45513</v>
      </c>
      <c r="D525" t="inlineStr">
        <is>
          <t>ÖREBRO LÄN</t>
        </is>
      </c>
      <c r="E525" t="inlineStr">
        <is>
          <t>ÖREBRO</t>
        </is>
      </c>
      <c r="G525" t="n">
        <v>4</v>
      </c>
      <c r="H525" t="n">
        <v>0</v>
      </c>
      <c r="I525" t="n">
        <v>0</v>
      </c>
      <c r="J525" t="n">
        <v>0</v>
      </c>
      <c r="K525" t="n">
        <v>0</v>
      </c>
      <c r="L525" t="n">
        <v>0</v>
      </c>
      <c r="M525" t="n">
        <v>0</v>
      </c>
      <c r="N525" t="n">
        <v>0</v>
      </c>
      <c r="O525" t="n">
        <v>0</v>
      </c>
      <c r="P525" t="n">
        <v>0</v>
      </c>
      <c r="Q525" t="n">
        <v>0</v>
      </c>
      <c r="R525" s="2" t="inlineStr"/>
    </row>
    <row r="526" ht="15" customHeight="1">
      <c r="A526" t="inlineStr">
        <is>
          <t>A 30782-2022</t>
        </is>
      </c>
      <c r="B526" s="1" t="n">
        <v>44764</v>
      </c>
      <c r="C526" s="1" t="n">
        <v>45513</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32231-2022</t>
        </is>
      </c>
      <c r="B527" s="1" t="n">
        <v>44781</v>
      </c>
      <c r="C527" s="1" t="n">
        <v>45513</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32274-2022</t>
        </is>
      </c>
      <c r="B528" s="1" t="n">
        <v>44781</v>
      </c>
      <c r="C528" s="1" t="n">
        <v>45513</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32247-2022</t>
        </is>
      </c>
      <c r="B529" s="1" t="n">
        <v>44781</v>
      </c>
      <c r="C529" s="1" t="n">
        <v>45513</v>
      </c>
      <c r="D529" t="inlineStr">
        <is>
          <t>ÖREBRO LÄN</t>
        </is>
      </c>
      <c r="E529" t="inlineStr">
        <is>
          <t>ÖREBRO</t>
        </is>
      </c>
      <c r="G529" t="n">
        <v>3</v>
      </c>
      <c r="H529" t="n">
        <v>0</v>
      </c>
      <c r="I529" t="n">
        <v>0</v>
      </c>
      <c r="J529" t="n">
        <v>0</v>
      </c>
      <c r="K529" t="n">
        <v>0</v>
      </c>
      <c r="L529" t="n">
        <v>0</v>
      </c>
      <c r="M529" t="n">
        <v>0</v>
      </c>
      <c r="N529" t="n">
        <v>0</v>
      </c>
      <c r="O529" t="n">
        <v>0</v>
      </c>
      <c r="P529" t="n">
        <v>0</v>
      </c>
      <c r="Q529" t="n">
        <v>0</v>
      </c>
      <c r="R529" s="2" t="inlineStr"/>
    </row>
    <row r="530" ht="15" customHeight="1">
      <c r="A530" t="inlineStr">
        <is>
          <t>A 34358-2022</t>
        </is>
      </c>
      <c r="B530" s="1" t="n">
        <v>44792</v>
      </c>
      <c r="C530" s="1" t="n">
        <v>45513</v>
      </c>
      <c r="D530" t="inlineStr">
        <is>
          <t>ÖREBRO LÄN</t>
        </is>
      </c>
      <c r="E530" t="inlineStr">
        <is>
          <t>ÖREBRO</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34874-2022</t>
        </is>
      </c>
      <c r="B531" s="1" t="n">
        <v>44796</v>
      </c>
      <c r="C531" s="1" t="n">
        <v>45513</v>
      </c>
      <c r="D531" t="inlineStr">
        <is>
          <t>ÖREBRO LÄN</t>
        </is>
      </c>
      <c r="E531" t="inlineStr">
        <is>
          <t>ÖREBRO</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35843-2022</t>
        </is>
      </c>
      <c r="B532" s="1" t="n">
        <v>44802</v>
      </c>
      <c r="C532" s="1" t="n">
        <v>45513</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36794-2022</t>
        </is>
      </c>
      <c r="B533" s="1" t="n">
        <v>44805</v>
      </c>
      <c r="C533" s="1" t="n">
        <v>45513</v>
      </c>
      <c r="D533" t="inlineStr">
        <is>
          <t>ÖREBRO LÄN</t>
        </is>
      </c>
      <c r="E533" t="inlineStr">
        <is>
          <t>ÖREBRO</t>
        </is>
      </c>
      <c r="G533" t="n">
        <v>0.6</v>
      </c>
      <c r="H533" t="n">
        <v>0</v>
      </c>
      <c r="I533" t="n">
        <v>0</v>
      </c>
      <c r="J533" t="n">
        <v>0</v>
      </c>
      <c r="K533" t="n">
        <v>0</v>
      </c>
      <c r="L533" t="n">
        <v>0</v>
      </c>
      <c r="M533" t="n">
        <v>0</v>
      </c>
      <c r="N533" t="n">
        <v>0</v>
      </c>
      <c r="O533" t="n">
        <v>0</v>
      </c>
      <c r="P533" t="n">
        <v>0</v>
      </c>
      <c r="Q533" t="n">
        <v>0</v>
      </c>
      <c r="R533" s="2" t="inlineStr"/>
    </row>
    <row r="534" ht="15" customHeight="1">
      <c r="A534" t="inlineStr">
        <is>
          <t>A 37270-2022</t>
        </is>
      </c>
      <c r="B534" s="1" t="n">
        <v>44807</v>
      </c>
      <c r="C534" s="1" t="n">
        <v>45513</v>
      </c>
      <c r="D534" t="inlineStr">
        <is>
          <t>ÖREBRO LÄN</t>
        </is>
      </c>
      <c r="E534" t="inlineStr">
        <is>
          <t>ÖREBRO</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37277-2022</t>
        </is>
      </c>
      <c r="B535" s="1" t="n">
        <v>44807</v>
      </c>
      <c r="C535" s="1" t="n">
        <v>45513</v>
      </c>
      <c r="D535" t="inlineStr">
        <is>
          <t>ÖREBRO LÄN</t>
        </is>
      </c>
      <c r="E535" t="inlineStr">
        <is>
          <t>ÖREBRO</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37272-2022</t>
        </is>
      </c>
      <c r="B536" s="1" t="n">
        <v>44807</v>
      </c>
      <c r="C536" s="1" t="n">
        <v>45513</v>
      </c>
      <c r="D536" t="inlineStr">
        <is>
          <t>ÖREBRO LÄN</t>
        </is>
      </c>
      <c r="E536" t="inlineStr">
        <is>
          <t>ÖREBRO</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37271-2022</t>
        </is>
      </c>
      <c r="B537" s="1" t="n">
        <v>44807</v>
      </c>
      <c r="C537" s="1" t="n">
        <v>45513</v>
      </c>
      <c r="D537" t="inlineStr">
        <is>
          <t>ÖREBRO LÄN</t>
        </is>
      </c>
      <c r="E537" t="inlineStr">
        <is>
          <t>ÖREBRO</t>
        </is>
      </c>
      <c r="F537" t="inlineStr">
        <is>
          <t>Sveaskog</t>
        </is>
      </c>
      <c r="G537" t="n">
        <v>4.1</v>
      </c>
      <c r="H537" t="n">
        <v>0</v>
      </c>
      <c r="I537" t="n">
        <v>0</v>
      </c>
      <c r="J537" t="n">
        <v>0</v>
      </c>
      <c r="K537" t="n">
        <v>0</v>
      </c>
      <c r="L537" t="n">
        <v>0</v>
      </c>
      <c r="M537" t="n">
        <v>0</v>
      </c>
      <c r="N537" t="n">
        <v>0</v>
      </c>
      <c r="O537" t="n">
        <v>0</v>
      </c>
      <c r="P537" t="n">
        <v>0</v>
      </c>
      <c r="Q537" t="n">
        <v>0</v>
      </c>
      <c r="R537" s="2" t="inlineStr"/>
    </row>
    <row r="538" ht="15" customHeight="1">
      <c r="A538" t="inlineStr">
        <is>
          <t>A 37268-2022</t>
        </is>
      </c>
      <c r="B538" s="1" t="n">
        <v>44807</v>
      </c>
      <c r="C538" s="1" t="n">
        <v>45513</v>
      </c>
      <c r="D538" t="inlineStr">
        <is>
          <t>ÖREBRO LÄN</t>
        </is>
      </c>
      <c r="E538" t="inlineStr">
        <is>
          <t>ÖREBRO</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37276-2022</t>
        </is>
      </c>
      <c r="B539" s="1" t="n">
        <v>44807</v>
      </c>
      <c r="C539" s="1" t="n">
        <v>45513</v>
      </c>
      <c r="D539" t="inlineStr">
        <is>
          <t>ÖREBRO LÄN</t>
        </is>
      </c>
      <c r="E539" t="inlineStr">
        <is>
          <t>ÖREBRO</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38075-2022</t>
        </is>
      </c>
      <c r="B540" s="1" t="n">
        <v>44811</v>
      </c>
      <c r="C540" s="1" t="n">
        <v>45513</v>
      </c>
      <c r="D540" t="inlineStr">
        <is>
          <t>ÖREBRO LÄN</t>
        </is>
      </c>
      <c r="E540" t="inlineStr">
        <is>
          <t>ÖREBRO</t>
        </is>
      </c>
      <c r="G540" t="n">
        <v>0.2</v>
      </c>
      <c r="H540" t="n">
        <v>0</v>
      </c>
      <c r="I540" t="n">
        <v>0</v>
      </c>
      <c r="J540" t="n">
        <v>0</v>
      </c>
      <c r="K540" t="n">
        <v>0</v>
      </c>
      <c r="L540" t="n">
        <v>0</v>
      </c>
      <c r="M540" t="n">
        <v>0</v>
      </c>
      <c r="N540" t="n">
        <v>0</v>
      </c>
      <c r="O540" t="n">
        <v>0</v>
      </c>
      <c r="P540" t="n">
        <v>0</v>
      </c>
      <c r="Q540" t="n">
        <v>0</v>
      </c>
      <c r="R540" s="2" t="inlineStr"/>
    </row>
    <row r="541" ht="15" customHeight="1">
      <c r="A541" t="inlineStr">
        <is>
          <t>A 38864-2022</t>
        </is>
      </c>
      <c r="B541" s="1" t="n">
        <v>44814</v>
      </c>
      <c r="C541" s="1" t="n">
        <v>45513</v>
      </c>
      <c r="D541" t="inlineStr">
        <is>
          <t>ÖREBRO LÄN</t>
        </is>
      </c>
      <c r="E541" t="inlineStr">
        <is>
          <t>ÖREBRO</t>
        </is>
      </c>
      <c r="G541" t="n">
        <v>2.5</v>
      </c>
      <c r="H541" t="n">
        <v>0</v>
      </c>
      <c r="I541" t="n">
        <v>0</v>
      </c>
      <c r="J541" t="n">
        <v>0</v>
      </c>
      <c r="K541" t="n">
        <v>0</v>
      </c>
      <c r="L541" t="n">
        <v>0</v>
      </c>
      <c r="M541" t="n">
        <v>0</v>
      </c>
      <c r="N541" t="n">
        <v>0</v>
      </c>
      <c r="O541" t="n">
        <v>0</v>
      </c>
      <c r="P541" t="n">
        <v>0</v>
      </c>
      <c r="Q541" t="n">
        <v>0</v>
      </c>
      <c r="R541" s="2" t="inlineStr"/>
    </row>
    <row r="542" ht="15" customHeight="1">
      <c r="A542" t="inlineStr">
        <is>
          <t>A 38842-2022</t>
        </is>
      </c>
      <c r="B542" s="1" t="n">
        <v>44814</v>
      </c>
      <c r="C542" s="1" t="n">
        <v>45513</v>
      </c>
      <c r="D542" t="inlineStr">
        <is>
          <t>ÖREBRO LÄN</t>
        </is>
      </c>
      <c r="E542" t="inlineStr">
        <is>
          <t>ÖREBRO</t>
        </is>
      </c>
      <c r="G542" t="n">
        <v>5</v>
      </c>
      <c r="H542" t="n">
        <v>0</v>
      </c>
      <c r="I542" t="n">
        <v>0</v>
      </c>
      <c r="J542" t="n">
        <v>0</v>
      </c>
      <c r="K542" t="n">
        <v>0</v>
      </c>
      <c r="L542" t="n">
        <v>0</v>
      </c>
      <c r="M542" t="n">
        <v>0</v>
      </c>
      <c r="N542" t="n">
        <v>0</v>
      </c>
      <c r="O542" t="n">
        <v>0</v>
      </c>
      <c r="P542" t="n">
        <v>0</v>
      </c>
      <c r="Q542" t="n">
        <v>0</v>
      </c>
      <c r="R542" s="2" t="inlineStr"/>
    </row>
    <row r="543" ht="15" customHeight="1">
      <c r="A543" t="inlineStr">
        <is>
          <t>A 40231-2022</t>
        </is>
      </c>
      <c r="B543" s="1" t="n">
        <v>44820</v>
      </c>
      <c r="C543" s="1" t="n">
        <v>45513</v>
      </c>
      <c r="D543" t="inlineStr">
        <is>
          <t>ÖREBRO LÄN</t>
        </is>
      </c>
      <c r="E543" t="inlineStr">
        <is>
          <t>ÖREBRO</t>
        </is>
      </c>
      <c r="F543" t="inlineStr">
        <is>
          <t>Allmännings- och besparingsskogar</t>
        </is>
      </c>
      <c r="G543" t="n">
        <v>2.2</v>
      </c>
      <c r="H543" t="n">
        <v>0</v>
      </c>
      <c r="I543" t="n">
        <v>0</v>
      </c>
      <c r="J543" t="n">
        <v>0</v>
      </c>
      <c r="K543" t="n">
        <v>0</v>
      </c>
      <c r="L543" t="n">
        <v>0</v>
      </c>
      <c r="M543" t="n">
        <v>0</v>
      </c>
      <c r="N543" t="n">
        <v>0</v>
      </c>
      <c r="O543" t="n">
        <v>0</v>
      </c>
      <c r="P543" t="n">
        <v>0</v>
      </c>
      <c r="Q543" t="n">
        <v>0</v>
      </c>
      <c r="R543" s="2" t="inlineStr"/>
    </row>
    <row r="544" ht="15" customHeight="1">
      <c r="A544" t="inlineStr">
        <is>
          <t>A 41553-2022</t>
        </is>
      </c>
      <c r="B544" s="1" t="n">
        <v>44827</v>
      </c>
      <c r="C544" s="1" t="n">
        <v>45513</v>
      </c>
      <c r="D544" t="inlineStr">
        <is>
          <t>ÖREBRO LÄN</t>
        </is>
      </c>
      <c r="E544" t="inlineStr">
        <is>
          <t>ÖREBRO</t>
        </is>
      </c>
      <c r="G544" t="n">
        <v>3.7</v>
      </c>
      <c r="H544" t="n">
        <v>0</v>
      </c>
      <c r="I544" t="n">
        <v>0</v>
      </c>
      <c r="J544" t="n">
        <v>0</v>
      </c>
      <c r="K544" t="n">
        <v>0</v>
      </c>
      <c r="L544" t="n">
        <v>0</v>
      </c>
      <c r="M544" t="n">
        <v>0</v>
      </c>
      <c r="N544" t="n">
        <v>0</v>
      </c>
      <c r="O544" t="n">
        <v>0</v>
      </c>
      <c r="P544" t="n">
        <v>0</v>
      </c>
      <c r="Q544" t="n">
        <v>0</v>
      </c>
      <c r="R544" s="2" t="inlineStr"/>
    </row>
    <row r="545" ht="15" customHeight="1">
      <c r="A545" t="inlineStr">
        <is>
          <t>A 41894-2022</t>
        </is>
      </c>
      <c r="B545" s="1" t="n">
        <v>44830</v>
      </c>
      <c r="C545" s="1" t="n">
        <v>45513</v>
      </c>
      <c r="D545" t="inlineStr">
        <is>
          <t>ÖREBRO LÄN</t>
        </is>
      </c>
      <c r="E545" t="inlineStr">
        <is>
          <t>ÖREBRO</t>
        </is>
      </c>
      <c r="G545" t="n">
        <v>4.7</v>
      </c>
      <c r="H545" t="n">
        <v>0</v>
      </c>
      <c r="I545" t="n">
        <v>0</v>
      </c>
      <c r="J545" t="n">
        <v>0</v>
      </c>
      <c r="K545" t="n">
        <v>0</v>
      </c>
      <c r="L545" t="n">
        <v>0</v>
      </c>
      <c r="M545" t="n">
        <v>0</v>
      </c>
      <c r="N545" t="n">
        <v>0</v>
      </c>
      <c r="O545" t="n">
        <v>0</v>
      </c>
      <c r="P545" t="n">
        <v>0</v>
      </c>
      <c r="Q545" t="n">
        <v>0</v>
      </c>
      <c r="R545" s="2" t="inlineStr"/>
    </row>
    <row r="546" ht="15" customHeight="1">
      <c r="A546" t="inlineStr">
        <is>
          <t>A 41892-2022</t>
        </is>
      </c>
      <c r="B546" s="1" t="n">
        <v>44830</v>
      </c>
      <c r="C546" s="1" t="n">
        <v>45513</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42618-2022</t>
        </is>
      </c>
      <c r="B547" s="1" t="n">
        <v>44831</v>
      </c>
      <c r="C547" s="1" t="n">
        <v>45513</v>
      </c>
      <c r="D547" t="inlineStr">
        <is>
          <t>ÖREBRO LÄN</t>
        </is>
      </c>
      <c r="E547" t="inlineStr">
        <is>
          <t>ÖREBRO</t>
        </is>
      </c>
      <c r="G547" t="n">
        <v>3</v>
      </c>
      <c r="H547" t="n">
        <v>0</v>
      </c>
      <c r="I547" t="n">
        <v>0</v>
      </c>
      <c r="J547" t="n">
        <v>0</v>
      </c>
      <c r="K547" t="n">
        <v>0</v>
      </c>
      <c r="L547" t="n">
        <v>0</v>
      </c>
      <c r="M547" t="n">
        <v>0</v>
      </c>
      <c r="N547" t="n">
        <v>0</v>
      </c>
      <c r="O547" t="n">
        <v>0</v>
      </c>
      <c r="P547" t="n">
        <v>0</v>
      </c>
      <c r="Q547" t="n">
        <v>0</v>
      </c>
      <c r="R547" s="2" t="inlineStr"/>
    </row>
    <row r="548" ht="15" customHeight="1">
      <c r="A548" t="inlineStr">
        <is>
          <t>A 42623-2022</t>
        </is>
      </c>
      <c r="B548" s="1" t="n">
        <v>44831</v>
      </c>
      <c r="C548" s="1" t="n">
        <v>45513</v>
      </c>
      <c r="D548" t="inlineStr">
        <is>
          <t>ÖREBRO LÄN</t>
        </is>
      </c>
      <c r="E548" t="inlineStr">
        <is>
          <t>ÖREBRO</t>
        </is>
      </c>
      <c r="G548" t="n">
        <v>3.6</v>
      </c>
      <c r="H548" t="n">
        <v>0</v>
      </c>
      <c r="I548" t="n">
        <v>0</v>
      </c>
      <c r="J548" t="n">
        <v>0</v>
      </c>
      <c r="K548" t="n">
        <v>0</v>
      </c>
      <c r="L548" t="n">
        <v>0</v>
      </c>
      <c r="M548" t="n">
        <v>0</v>
      </c>
      <c r="N548" t="n">
        <v>0</v>
      </c>
      <c r="O548" t="n">
        <v>0</v>
      </c>
      <c r="P548" t="n">
        <v>0</v>
      </c>
      <c r="Q548" t="n">
        <v>0</v>
      </c>
      <c r="R548" s="2" t="inlineStr"/>
    </row>
    <row r="549" ht="15" customHeight="1">
      <c r="A549" t="inlineStr">
        <is>
          <t>A 43332-2022</t>
        </is>
      </c>
      <c r="B549" s="1" t="n">
        <v>44834</v>
      </c>
      <c r="C549" s="1" t="n">
        <v>45513</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43391-2022</t>
        </is>
      </c>
      <c r="B550" s="1" t="n">
        <v>44834</v>
      </c>
      <c r="C550" s="1" t="n">
        <v>45513</v>
      </c>
      <c r="D550" t="inlineStr">
        <is>
          <t>ÖREBRO LÄN</t>
        </is>
      </c>
      <c r="E550" t="inlineStr">
        <is>
          <t>ÖREBRO</t>
        </is>
      </c>
      <c r="G550" t="n">
        <v>3.4</v>
      </c>
      <c r="H550" t="n">
        <v>0</v>
      </c>
      <c r="I550" t="n">
        <v>0</v>
      </c>
      <c r="J550" t="n">
        <v>0</v>
      </c>
      <c r="K550" t="n">
        <v>0</v>
      </c>
      <c r="L550" t="n">
        <v>0</v>
      </c>
      <c r="M550" t="n">
        <v>0</v>
      </c>
      <c r="N550" t="n">
        <v>0</v>
      </c>
      <c r="O550" t="n">
        <v>0</v>
      </c>
      <c r="P550" t="n">
        <v>0</v>
      </c>
      <c r="Q550" t="n">
        <v>0</v>
      </c>
      <c r="R550" s="2" t="inlineStr"/>
    </row>
    <row r="551" ht="15" customHeight="1">
      <c r="A551" t="inlineStr">
        <is>
          <t>A 43399-2022</t>
        </is>
      </c>
      <c r="B551" s="1" t="n">
        <v>44834</v>
      </c>
      <c r="C551" s="1" t="n">
        <v>45513</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43612-2022</t>
        </is>
      </c>
      <c r="B552" s="1" t="n">
        <v>44837</v>
      </c>
      <c r="C552" s="1" t="n">
        <v>45513</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44165-2022</t>
        </is>
      </c>
      <c r="B553" s="1" t="n">
        <v>44839</v>
      </c>
      <c r="C553" s="1" t="n">
        <v>45513</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44271-2022</t>
        </is>
      </c>
      <c r="B554" s="1" t="n">
        <v>44839</v>
      </c>
      <c r="C554" s="1" t="n">
        <v>45513</v>
      </c>
      <c r="D554" t="inlineStr">
        <is>
          <t>ÖREBRO LÄN</t>
        </is>
      </c>
      <c r="E554" t="inlineStr">
        <is>
          <t>ÖREBRO</t>
        </is>
      </c>
      <c r="G554" t="n">
        <v>2.9</v>
      </c>
      <c r="H554" t="n">
        <v>0</v>
      </c>
      <c r="I554" t="n">
        <v>0</v>
      </c>
      <c r="J554" t="n">
        <v>0</v>
      </c>
      <c r="K554" t="n">
        <v>0</v>
      </c>
      <c r="L554" t="n">
        <v>0</v>
      </c>
      <c r="M554" t="n">
        <v>0</v>
      </c>
      <c r="N554" t="n">
        <v>0</v>
      </c>
      <c r="O554" t="n">
        <v>0</v>
      </c>
      <c r="P554" t="n">
        <v>0</v>
      </c>
      <c r="Q554" t="n">
        <v>0</v>
      </c>
      <c r="R554" s="2" t="inlineStr"/>
    </row>
    <row r="555" ht="15" customHeight="1">
      <c r="A555" t="inlineStr">
        <is>
          <t>A 44295-2022</t>
        </is>
      </c>
      <c r="B555" s="1" t="n">
        <v>44839</v>
      </c>
      <c r="C555" s="1" t="n">
        <v>45513</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44364-2022</t>
        </is>
      </c>
      <c r="B556" s="1" t="n">
        <v>44839</v>
      </c>
      <c r="C556" s="1" t="n">
        <v>45513</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44131-2022</t>
        </is>
      </c>
      <c r="B557" s="1" t="n">
        <v>44839</v>
      </c>
      <c r="C557" s="1" t="n">
        <v>45513</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44279-2022</t>
        </is>
      </c>
      <c r="B558" s="1" t="n">
        <v>44839</v>
      </c>
      <c r="C558" s="1" t="n">
        <v>45513</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44284-2022</t>
        </is>
      </c>
      <c r="B559" s="1" t="n">
        <v>44839</v>
      </c>
      <c r="C559" s="1" t="n">
        <v>45513</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46266-2022</t>
        </is>
      </c>
      <c r="B560" s="1" t="n">
        <v>44847</v>
      </c>
      <c r="C560" s="1" t="n">
        <v>45513</v>
      </c>
      <c r="D560" t="inlineStr">
        <is>
          <t>ÖREBRO LÄN</t>
        </is>
      </c>
      <c r="E560" t="inlineStr">
        <is>
          <t>ÖREBRO</t>
        </is>
      </c>
      <c r="G560" t="n">
        <v>1.7</v>
      </c>
      <c r="H560" t="n">
        <v>0</v>
      </c>
      <c r="I560" t="n">
        <v>0</v>
      </c>
      <c r="J560" t="n">
        <v>0</v>
      </c>
      <c r="K560" t="n">
        <v>0</v>
      </c>
      <c r="L560" t="n">
        <v>0</v>
      </c>
      <c r="M560" t="n">
        <v>0</v>
      </c>
      <c r="N560" t="n">
        <v>0</v>
      </c>
      <c r="O560" t="n">
        <v>0</v>
      </c>
      <c r="P560" t="n">
        <v>0</v>
      </c>
      <c r="Q560" t="n">
        <v>0</v>
      </c>
      <c r="R560" s="2" t="inlineStr"/>
    </row>
    <row r="561" ht="15" customHeight="1">
      <c r="A561" t="inlineStr">
        <is>
          <t>A 46271-2022</t>
        </is>
      </c>
      <c r="B561" s="1" t="n">
        <v>44847</v>
      </c>
      <c r="C561" s="1" t="n">
        <v>45513</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46834-2022</t>
        </is>
      </c>
      <c r="B562" s="1" t="n">
        <v>44851</v>
      </c>
      <c r="C562" s="1" t="n">
        <v>45513</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47047-2022</t>
        </is>
      </c>
      <c r="B563" s="1" t="n">
        <v>44852</v>
      </c>
      <c r="C563" s="1" t="n">
        <v>45513</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48008-2022</t>
        </is>
      </c>
      <c r="B564" s="1" t="n">
        <v>44855</v>
      </c>
      <c r="C564" s="1" t="n">
        <v>45513</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48021-2022</t>
        </is>
      </c>
      <c r="B565" s="1" t="n">
        <v>44855</v>
      </c>
      <c r="C565" s="1" t="n">
        <v>45513</v>
      </c>
      <c r="D565" t="inlineStr">
        <is>
          <t>ÖREBRO LÄN</t>
        </is>
      </c>
      <c r="E565" t="inlineStr">
        <is>
          <t>ÖREBRO</t>
        </is>
      </c>
      <c r="G565" t="n">
        <v>4.5</v>
      </c>
      <c r="H565" t="n">
        <v>0</v>
      </c>
      <c r="I565" t="n">
        <v>0</v>
      </c>
      <c r="J565" t="n">
        <v>0</v>
      </c>
      <c r="K565" t="n">
        <v>0</v>
      </c>
      <c r="L565" t="n">
        <v>0</v>
      </c>
      <c r="M565" t="n">
        <v>0</v>
      </c>
      <c r="N565" t="n">
        <v>0</v>
      </c>
      <c r="O565" t="n">
        <v>0</v>
      </c>
      <c r="P565" t="n">
        <v>0</v>
      </c>
      <c r="Q565" t="n">
        <v>0</v>
      </c>
      <c r="R565" s="2" t="inlineStr"/>
    </row>
    <row r="566" ht="15" customHeight="1">
      <c r="A566" t="inlineStr">
        <is>
          <t>A 49228-2022</t>
        </is>
      </c>
      <c r="B566" s="1" t="n">
        <v>44861</v>
      </c>
      <c r="C566" s="1" t="n">
        <v>45513</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49495-2022</t>
        </is>
      </c>
      <c r="B567" s="1" t="n">
        <v>44861</v>
      </c>
      <c r="C567" s="1" t="n">
        <v>45513</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50398-2022</t>
        </is>
      </c>
      <c r="B568" s="1" t="n">
        <v>44861</v>
      </c>
      <c r="C568" s="1" t="n">
        <v>45513</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49552-2022</t>
        </is>
      </c>
      <c r="B569" s="1" t="n">
        <v>44862</v>
      </c>
      <c r="C569" s="1" t="n">
        <v>45513</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51103-2022</t>
        </is>
      </c>
      <c r="B570" s="1" t="n">
        <v>44868</v>
      </c>
      <c r="C570" s="1" t="n">
        <v>45513</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51268-2022</t>
        </is>
      </c>
      <c r="B571" s="1" t="n">
        <v>44868</v>
      </c>
      <c r="C571" s="1" t="n">
        <v>45513</v>
      </c>
      <c r="D571" t="inlineStr">
        <is>
          <t>ÖREBRO LÄN</t>
        </is>
      </c>
      <c r="E571" t="inlineStr">
        <is>
          <t>ÖREBRO</t>
        </is>
      </c>
      <c r="G571" t="n">
        <v>3.8</v>
      </c>
      <c r="H571" t="n">
        <v>0</v>
      </c>
      <c r="I571" t="n">
        <v>0</v>
      </c>
      <c r="J571" t="n">
        <v>0</v>
      </c>
      <c r="K571" t="n">
        <v>0</v>
      </c>
      <c r="L571" t="n">
        <v>0</v>
      </c>
      <c r="M571" t="n">
        <v>0</v>
      </c>
      <c r="N571" t="n">
        <v>0</v>
      </c>
      <c r="O571" t="n">
        <v>0</v>
      </c>
      <c r="P571" t="n">
        <v>0</v>
      </c>
      <c r="Q571" t="n">
        <v>0</v>
      </c>
      <c r="R571" s="2" t="inlineStr"/>
    </row>
    <row r="572" ht="15" customHeight="1">
      <c r="A572" t="inlineStr">
        <is>
          <t>A 52309-2022</t>
        </is>
      </c>
      <c r="B572" s="1" t="n">
        <v>44873</v>
      </c>
      <c r="C572" s="1" t="n">
        <v>45513</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53578-2022</t>
        </is>
      </c>
      <c r="B573" s="1" t="n">
        <v>44879</v>
      </c>
      <c r="C573" s="1" t="n">
        <v>45513</v>
      </c>
      <c r="D573" t="inlineStr">
        <is>
          <t>ÖREBRO LÄN</t>
        </is>
      </c>
      <c r="E573" t="inlineStr">
        <is>
          <t>ÖREBRO</t>
        </is>
      </c>
      <c r="G573" t="n">
        <v>2.8</v>
      </c>
      <c r="H573" t="n">
        <v>0</v>
      </c>
      <c r="I573" t="n">
        <v>0</v>
      </c>
      <c r="J573" t="n">
        <v>0</v>
      </c>
      <c r="K573" t="n">
        <v>0</v>
      </c>
      <c r="L573" t="n">
        <v>0</v>
      </c>
      <c r="M573" t="n">
        <v>0</v>
      </c>
      <c r="N573" t="n">
        <v>0</v>
      </c>
      <c r="O573" t="n">
        <v>0</v>
      </c>
      <c r="P573" t="n">
        <v>0</v>
      </c>
      <c r="Q573" t="n">
        <v>0</v>
      </c>
      <c r="R573" s="2" t="inlineStr"/>
    </row>
    <row r="574" ht="15" customHeight="1">
      <c r="A574" t="inlineStr">
        <is>
          <t>A 55012-2022</t>
        </is>
      </c>
      <c r="B574" s="1" t="n">
        <v>44886</v>
      </c>
      <c r="C574" s="1" t="n">
        <v>45513</v>
      </c>
      <c r="D574" t="inlineStr">
        <is>
          <t>ÖREBRO LÄN</t>
        </is>
      </c>
      <c r="E574" t="inlineStr">
        <is>
          <t>ÖREBRO</t>
        </is>
      </c>
      <c r="G574" t="n">
        <v>5.1</v>
      </c>
      <c r="H574" t="n">
        <v>0</v>
      </c>
      <c r="I574" t="n">
        <v>0</v>
      </c>
      <c r="J574" t="n">
        <v>0</v>
      </c>
      <c r="K574" t="n">
        <v>0</v>
      </c>
      <c r="L574" t="n">
        <v>0</v>
      </c>
      <c r="M574" t="n">
        <v>0</v>
      </c>
      <c r="N574" t="n">
        <v>0</v>
      </c>
      <c r="O574" t="n">
        <v>0</v>
      </c>
      <c r="P574" t="n">
        <v>0</v>
      </c>
      <c r="Q574" t="n">
        <v>0</v>
      </c>
      <c r="R574" s="2" t="inlineStr"/>
    </row>
    <row r="575" ht="15" customHeight="1">
      <c r="A575" t="inlineStr">
        <is>
          <t>A 55593-2022</t>
        </is>
      </c>
      <c r="B575" s="1" t="n">
        <v>44888</v>
      </c>
      <c r="C575" s="1" t="n">
        <v>45513</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56077-2022</t>
        </is>
      </c>
      <c r="B576" s="1" t="n">
        <v>44889</v>
      </c>
      <c r="C576" s="1" t="n">
        <v>45513</v>
      </c>
      <c r="D576" t="inlineStr">
        <is>
          <t>ÖREBRO LÄN</t>
        </is>
      </c>
      <c r="E576" t="inlineStr">
        <is>
          <t>ÖREBRO</t>
        </is>
      </c>
      <c r="F576" t="inlineStr">
        <is>
          <t>Övriga Aktiebolag</t>
        </is>
      </c>
      <c r="G576" t="n">
        <v>2.5</v>
      </c>
      <c r="H576" t="n">
        <v>0</v>
      </c>
      <c r="I576" t="n">
        <v>0</v>
      </c>
      <c r="J576" t="n">
        <v>0</v>
      </c>
      <c r="K576" t="n">
        <v>0</v>
      </c>
      <c r="L576" t="n">
        <v>0</v>
      </c>
      <c r="M576" t="n">
        <v>0</v>
      </c>
      <c r="N576" t="n">
        <v>0</v>
      </c>
      <c r="O576" t="n">
        <v>0</v>
      </c>
      <c r="P576" t="n">
        <v>0</v>
      </c>
      <c r="Q576" t="n">
        <v>0</v>
      </c>
      <c r="R576" s="2" t="inlineStr"/>
    </row>
    <row r="577" ht="15" customHeight="1">
      <c r="A577" t="inlineStr">
        <is>
          <t>A 57247-2022</t>
        </is>
      </c>
      <c r="B577" s="1" t="n">
        <v>44895</v>
      </c>
      <c r="C577" s="1" t="n">
        <v>45513</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57243-2022</t>
        </is>
      </c>
      <c r="B578" s="1" t="n">
        <v>44895</v>
      </c>
      <c r="C578" s="1" t="n">
        <v>45513</v>
      </c>
      <c r="D578" t="inlineStr">
        <is>
          <t>ÖREBRO LÄN</t>
        </is>
      </c>
      <c r="E578" t="inlineStr">
        <is>
          <t>ÖREBRO</t>
        </is>
      </c>
      <c r="G578" t="n">
        <v>6</v>
      </c>
      <c r="H578" t="n">
        <v>0</v>
      </c>
      <c r="I578" t="n">
        <v>0</v>
      </c>
      <c r="J578" t="n">
        <v>0</v>
      </c>
      <c r="K578" t="n">
        <v>0</v>
      </c>
      <c r="L578" t="n">
        <v>0</v>
      </c>
      <c r="M578" t="n">
        <v>0</v>
      </c>
      <c r="N578" t="n">
        <v>0</v>
      </c>
      <c r="O578" t="n">
        <v>0</v>
      </c>
      <c r="P578" t="n">
        <v>0</v>
      </c>
      <c r="Q578" t="n">
        <v>0</v>
      </c>
      <c r="R578" s="2" t="inlineStr"/>
    </row>
    <row r="579" ht="15" customHeight="1">
      <c r="A579" t="inlineStr">
        <is>
          <t>A 57638-2022</t>
        </is>
      </c>
      <c r="B579" s="1" t="n">
        <v>44897</v>
      </c>
      <c r="C579" s="1" t="n">
        <v>45513</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58277-2022</t>
        </is>
      </c>
      <c r="B580" s="1" t="n">
        <v>44901</v>
      </c>
      <c r="C580" s="1" t="n">
        <v>45513</v>
      </c>
      <c r="D580" t="inlineStr">
        <is>
          <t>ÖREBRO LÄN</t>
        </is>
      </c>
      <c r="E580" t="inlineStr">
        <is>
          <t>ÖREBRO</t>
        </is>
      </c>
      <c r="G580" t="n">
        <v>1.8</v>
      </c>
      <c r="H580" t="n">
        <v>0</v>
      </c>
      <c r="I580" t="n">
        <v>0</v>
      </c>
      <c r="J580" t="n">
        <v>0</v>
      </c>
      <c r="K580" t="n">
        <v>0</v>
      </c>
      <c r="L580" t="n">
        <v>0</v>
      </c>
      <c r="M580" t="n">
        <v>0</v>
      </c>
      <c r="N580" t="n">
        <v>0</v>
      </c>
      <c r="O580" t="n">
        <v>0</v>
      </c>
      <c r="P580" t="n">
        <v>0</v>
      </c>
      <c r="Q580" t="n">
        <v>0</v>
      </c>
      <c r="R580" s="2" t="inlineStr"/>
    </row>
    <row r="581" ht="15" customHeight="1">
      <c r="A581" t="inlineStr">
        <is>
          <t>A 58551-2022</t>
        </is>
      </c>
      <c r="B581" s="1" t="n">
        <v>44902</v>
      </c>
      <c r="C581" s="1" t="n">
        <v>45513</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60100-2022</t>
        </is>
      </c>
      <c r="B582" s="1" t="n">
        <v>44902</v>
      </c>
      <c r="C582" s="1" t="n">
        <v>45513</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58595-2022</t>
        </is>
      </c>
      <c r="B583" s="1" t="n">
        <v>44902</v>
      </c>
      <c r="C583" s="1" t="n">
        <v>45513</v>
      </c>
      <c r="D583" t="inlineStr">
        <is>
          <t>ÖREBRO LÄN</t>
        </is>
      </c>
      <c r="E583" t="inlineStr">
        <is>
          <t>ÖREBRO</t>
        </is>
      </c>
      <c r="G583" t="n">
        <v>1.9</v>
      </c>
      <c r="H583" t="n">
        <v>0</v>
      </c>
      <c r="I583" t="n">
        <v>0</v>
      </c>
      <c r="J583" t="n">
        <v>0</v>
      </c>
      <c r="K583" t="n">
        <v>0</v>
      </c>
      <c r="L583" t="n">
        <v>0</v>
      </c>
      <c r="M583" t="n">
        <v>0</v>
      </c>
      <c r="N583" t="n">
        <v>0</v>
      </c>
      <c r="O583" t="n">
        <v>0</v>
      </c>
      <c r="P583" t="n">
        <v>0</v>
      </c>
      <c r="Q583" t="n">
        <v>0</v>
      </c>
      <c r="R583" s="2" t="inlineStr"/>
    </row>
    <row r="584" ht="15" customHeight="1">
      <c r="A584" t="inlineStr">
        <is>
          <t>A 58598-2022</t>
        </is>
      </c>
      <c r="B584" s="1" t="n">
        <v>44902</v>
      </c>
      <c r="C584" s="1" t="n">
        <v>45513</v>
      </c>
      <c r="D584" t="inlineStr">
        <is>
          <t>ÖREBRO LÄN</t>
        </is>
      </c>
      <c r="E584" t="inlineStr">
        <is>
          <t>ÖREBRO</t>
        </is>
      </c>
      <c r="G584" t="n">
        <v>0.4</v>
      </c>
      <c r="H584" t="n">
        <v>0</v>
      </c>
      <c r="I584" t="n">
        <v>0</v>
      </c>
      <c r="J584" t="n">
        <v>0</v>
      </c>
      <c r="K584" t="n">
        <v>0</v>
      </c>
      <c r="L584" t="n">
        <v>0</v>
      </c>
      <c r="M584" t="n">
        <v>0</v>
      </c>
      <c r="N584" t="n">
        <v>0</v>
      </c>
      <c r="O584" t="n">
        <v>0</v>
      </c>
      <c r="P584" t="n">
        <v>0</v>
      </c>
      <c r="Q584" t="n">
        <v>0</v>
      </c>
      <c r="R584" s="2" t="inlineStr"/>
    </row>
    <row r="585" ht="15" customHeight="1">
      <c r="A585" t="inlineStr">
        <is>
          <t>A 60262-2022</t>
        </is>
      </c>
      <c r="B585" s="1" t="n">
        <v>44910</v>
      </c>
      <c r="C585" s="1" t="n">
        <v>45513</v>
      </c>
      <c r="D585" t="inlineStr">
        <is>
          <t>ÖREBRO LÄN</t>
        </is>
      </c>
      <c r="E585" t="inlineStr">
        <is>
          <t>ÖREBRO</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60769-2022</t>
        </is>
      </c>
      <c r="B586" s="1" t="n">
        <v>44914</v>
      </c>
      <c r="C586" s="1" t="n">
        <v>45513</v>
      </c>
      <c r="D586" t="inlineStr">
        <is>
          <t>ÖREBRO LÄN</t>
        </is>
      </c>
      <c r="E586" t="inlineStr">
        <is>
          <t>ÖREBRO</t>
        </is>
      </c>
      <c r="G586" t="n">
        <v>3.4</v>
      </c>
      <c r="H586" t="n">
        <v>0</v>
      </c>
      <c r="I586" t="n">
        <v>0</v>
      </c>
      <c r="J586" t="n">
        <v>0</v>
      </c>
      <c r="K586" t="n">
        <v>0</v>
      </c>
      <c r="L586" t="n">
        <v>0</v>
      </c>
      <c r="M586" t="n">
        <v>0</v>
      </c>
      <c r="N586" t="n">
        <v>0</v>
      </c>
      <c r="O586" t="n">
        <v>0</v>
      </c>
      <c r="P586" t="n">
        <v>0</v>
      </c>
      <c r="Q586" t="n">
        <v>0</v>
      </c>
      <c r="R586" s="2" t="inlineStr"/>
    </row>
    <row r="587" ht="15" customHeight="1">
      <c r="A587" t="inlineStr">
        <is>
          <t>A 61123-2022</t>
        </is>
      </c>
      <c r="B587" s="1" t="n">
        <v>44915</v>
      </c>
      <c r="C587" s="1" t="n">
        <v>45513</v>
      </c>
      <c r="D587" t="inlineStr">
        <is>
          <t>ÖREBRO LÄN</t>
        </is>
      </c>
      <c r="E587" t="inlineStr">
        <is>
          <t>ÖREBRO</t>
        </is>
      </c>
      <c r="G587" t="n">
        <v>7.7</v>
      </c>
      <c r="H587" t="n">
        <v>0</v>
      </c>
      <c r="I587" t="n">
        <v>0</v>
      </c>
      <c r="J587" t="n">
        <v>0</v>
      </c>
      <c r="K587" t="n">
        <v>0</v>
      </c>
      <c r="L587" t="n">
        <v>0</v>
      </c>
      <c r="M587" t="n">
        <v>0</v>
      </c>
      <c r="N587" t="n">
        <v>0</v>
      </c>
      <c r="O587" t="n">
        <v>0</v>
      </c>
      <c r="P587" t="n">
        <v>0</v>
      </c>
      <c r="Q587" t="n">
        <v>0</v>
      </c>
      <c r="R587" s="2" t="inlineStr"/>
    </row>
    <row r="588" ht="15" customHeight="1">
      <c r="A588" t="inlineStr">
        <is>
          <t>A 5118-2023</t>
        </is>
      </c>
      <c r="B588" s="1" t="n">
        <v>44922</v>
      </c>
      <c r="C588" s="1" t="n">
        <v>45513</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1346-2023</t>
        </is>
      </c>
      <c r="B589" s="1" t="n">
        <v>44936</v>
      </c>
      <c r="C589" s="1" t="n">
        <v>45513</v>
      </c>
      <c r="D589" t="inlineStr">
        <is>
          <t>ÖREBRO LÄN</t>
        </is>
      </c>
      <c r="E589" t="inlineStr">
        <is>
          <t>ÖREBRO</t>
        </is>
      </c>
      <c r="G589" t="n">
        <v>4.1</v>
      </c>
      <c r="H589" t="n">
        <v>0</v>
      </c>
      <c r="I589" t="n">
        <v>0</v>
      </c>
      <c r="J589" t="n">
        <v>0</v>
      </c>
      <c r="K589" t="n">
        <v>0</v>
      </c>
      <c r="L589" t="n">
        <v>0</v>
      </c>
      <c r="M589" t="n">
        <v>0</v>
      </c>
      <c r="N589" t="n">
        <v>0</v>
      </c>
      <c r="O589" t="n">
        <v>0</v>
      </c>
      <c r="P589" t="n">
        <v>0</v>
      </c>
      <c r="Q589" t="n">
        <v>0</v>
      </c>
      <c r="R589" s="2" t="inlineStr"/>
    </row>
    <row r="590" ht="15" customHeight="1">
      <c r="A590" t="inlineStr">
        <is>
          <t>A 1767-2023</t>
        </is>
      </c>
      <c r="B590" s="1" t="n">
        <v>44938</v>
      </c>
      <c r="C590" s="1" t="n">
        <v>45513</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2077-2023</t>
        </is>
      </c>
      <c r="B591" s="1" t="n">
        <v>44939</v>
      </c>
      <c r="C591" s="1" t="n">
        <v>45513</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2152-2023</t>
        </is>
      </c>
      <c r="B592" s="1" t="n">
        <v>44941</v>
      </c>
      <c r="C592" s="1" t="n">
        <v>45513</v>
      </c>
      <c r="D592" t="inlineStr">
        <is>
          <t>ÖREBRO LÄN</t>
        </is>
      </c>
      <c r="E592" t="inlineStr">
        <is>
          <t>ÖREBRO</t>
        </is>
      </c>
      <c r="G592" t="n">
        <v>8</v>
      </c>
      <c r="H592" t="n">
        <v>0</v>
      </c>
      <c r="I592" t="n">
        <v>0</v>
      </c>
      <c r="J592" t="n">
        <v>0</v>
      </c>
      <c r="K592" t="n">
        <v>0</v>
      </c>
      <c r="L592" t="n">
        <v>0</v>
      </c>
      <c r="M592" t="n">
        <v>0</v>
      </c>
      <c r="N592" t="n">
        <v>0</v>
      </c>
      <c r="O592" t="n">
        <v>0</v>
      </c>
      <c r="P592" t="n">
        <v>0</v>
      </c>
      <c r="Q592" t="n">
        <v>0</v>
      </c>
      <c r="R592" s="2" t="inlineStr"/>
    </row>
    <row r="593" ht="15" customHeight="1">
      <c r="A593" t="inlineStr">
        <is>
          <t>A 2153-2023</t>
        </is>
      </c>
      <c r="B593" s="1" t="n">
        <v>44941</v>
      </c>
      <c r="C593" s="1" t="n">
        <v>45513</v>
      </c>
      <c r="D593" t="inlineStr">
        <is>
          <t>ÖREBRO LÄN</t>
        </is>
      </c>
      <c r="E593" t="inlineStr">
        <is>
          <t>ÖREBRO</t>
        </is>
      </c>
      <c r="G593" t="n">
        <v>6.3</v>
      </c>
      <c r="H593" t="n">
        <v>0</v>
      </c>
      <c r="I593" t="n">
        <v>0</v>
      </c>
      <c r="J593" t="n">
        <v>0</v>
      </c>
      <c r="K593" t="n">
        <v>0</v>
      </c>
      <c r="L593" t="n">
        <v>0</v>
      </c>
      <c r="M593" t="n">
        <v>0</v>
      </c>
      <c r="N593" t="n">
        <v>0</v>
      </c>
      <c r="O593" t="n">
        <v>0</v>
      </c>
      <c r="P593" t="n">
        <v>0</v>
      </c>
      <c r="Q593" t="n">
        <v>0</v>
      </c>
      <c r="R593" s="2" t="inlineStr"/>
    </row>
    <row r="594" ht="15" customHeight="1">
      <c r="A594" t="inlineStr">
        <is>
          <t>A 2318-2023</t>
        </is>
      </c>
      <c r="B594" s="1" t="n">
        <v>44942</v>
      </c>
      <c r="C594" s="1" t="n">
        <v>45513</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2288-2023</t>
        </is>
      </c>
      <c r="B595" s="1" t="n">
        <v>44942</v>
      </c>
      <c r="C595" s="1" t="n">
        <v>45513</v>
      </c>
      <c r="D595" t="inlineStr">
        <is>
          <t>ÖREBRO LÄN</t>
        </is>
      </c>
      <c r="E595" t="inlineStr">
        <is>
          <t>ÖREBRO</t>
        </is>
      </c>
      <c r="G595" t="n">
        <v>2.9</v>
      </c>
      <c r="H595" t="n">
        <v>0</v>
      </c>
      <c r="I595" t="n">
        <v>0</v>
      </c>
      <c r="J595" t="n">
        <v>0</v>
      </c>
      <c r="K595" t="n">
        <v>0</v>
      </c>
      <c r="L595" t="n">
        <v>0</v>
      </c>
      <c r="M595" t="n">
        <v>0</v>
      </c>
      <c r="N595" t="n">
        <v>0</v>
      </c>
      <c r="O595" t="n">
        <v>0</v>
      </c>
      <c r="P595" t="n">
        <v>0</v>
      </c>
      <c r="Q595" t="n">
        <v>0</v>
      </c>
      <c r="R595" s="2" t="inlineStr"/>
    </row>
    <row r="596" ht="15" customHeight="1">
      <c r="A596" t="inlineStr">
        <is>
          <t>A 2630-2023</t>
        </is>
      </c>
      <c r="B596" s="1" t="n">
        <v>44944</v>
      </c>
      <c r="C596" s="1" t="n">
        <v>45513</v>
      </c>
      <c r="D596" t="inlineStr">
        <is>
          <t>ÖREBRO LÄN</t>
        </is>
      </c>
      <c r="E596" t="inlineStr">
        <is>
          <t>ÖREBRO</t>
        </is>
      </c>
      <c r="G596" t="n">
        <v>6.1</v>
      </c>
      <c r="H596" t="n">
        <v>0</v>
      </c>
      <c r="I596" t="n">
        <v>0</v>
      </c>
      <c r="J596" t="n">
        <v>0</v>
      </c>
      <c r="K596" t="n">
        <v>0</v>
      </c>
      <c r="L596" t="n">
        <v>0</v>
      </c>
      <c r="M596" t="n">
        <v>0</v>
      </c>
      <c r="N596" t="n">
        <v>0</v>
      </c>
      <c r="O596" t="n">
        <v>0</v>
      </c>
      <c r="P596" t="n">
        <v>0</v>
      </c>
      <c r="Q596" t="n">
        <v>0</v>
      </c>
      <c r="R596" s="2" t="inlineStr"/>
    </row>
    <row r="597" ht="15" customHeight="1">
      <c r="A597" t="inlineStr">
        <is>
          <t>A 2658-2023</t>
        </is>
      </c>
      <c r="B597" s="1" t="n">
        <v>44944</v>
      </c>
      <c r="C597" s="1" t="n">
        <v>45513</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2771-2023</t>
        </is>
      </c>
      <c r="B598" s="1" t="n">
        <v>44944</v>
      </c>
      <c r="C598" s="1" t="n">
        <v>45513</v>
      </c>
      <c r="D598" t="inlineStr">
        <is>
          <t>ÖREBRO LÄN</t>
        </is>
      </c>
      <c r="E598" t="inlineStr">
        <is>
          <t>ÖREBRO</t>
        </is>
      </c>
      <c r="G598" t="n">
        <v>15.4</v>
      </c>
      <c r="H598" t="n">
        <v>0</v>
      </c>
      <c r="I598" t="n">
        <v>0</v>
      </c>
      <c r="J598" t="n">
        <v>0</v>
      </c>
      <c r="K598" t="n">
        <v>0</v>
      </c>
      <c r="L598" t="n">
        <v>0</v>
      </c>
      <c r="M598" t="n">
        <v>0</v>
      </c>
      <c r="N598" t="n">
        <v>0</v>
      </c>
      <c r="O598" t="n">
        <v>0</v>
      </c>
      <c r="P598" t="n">
        <v>0</v>
      </c>
      <c r="Q598" t="n">
        <v>0</v>
      </c>
      <c r="R598" s="2" t="inlineStr"/>
    </row>
    <row r="599" ht="15" customHeight="1">
      <c r="A599" t="inlineStr">
        <is>
          <t>A 3791-2023</t>
        </is>
      </c>
      <c r="B599" s="1" t="n">
        <v>44951</v>
      </c>
      <c r="C599" s="1" t="n">
        <v>45513</v>
      </c>
      <c r="D599" t="inlineStr">
        <is>
          <t>ÖREBRO LÄN</t>
        </is>
      </c>
      <c r="E599" t="inlineStr">
        <is>
          <t>ÖREBRO</t>
        </is>
      </c>
      <c r="G599" t="n">
        <v>3.7</v>
      </c>
      <c r="H599" t="n">
        <v>0</v>
      </c>
      <c r="I599" t="n">
        <v>0</v>
      </c>
      <c r="J599" t="n">
        <v>0</v>
      </c>
      <c r="K599" t="n">
        <v>0</v>
      </c>
      <c r="L599" t="n">
        <v>0</v>
      </c>
      <c r="M599" t="n">
        <v>0</v>
      </c>
      <c r="N599" t="n">
        <v>0</v>
      </c>
      <c r="O599" t="n">
        <v>0</v>
      </c>
      <c r="P599" t="n">
        <v>0</v>
      </c>
      <c r="Q599" t="n">
        <v>0</v>
      </c>
      <c r="R599" s="2" t="inlineStr"/>
    </row>
    <row r="600" ht="15" customHeight="1">
      <c r="A600" t="inlineStr">
        <is>
          <t>A 3789-2023</t>
        </is>
      </c>
      <c r="B600" s="1" t="n">
        <v>44951</v>
      </c>
      <c r="C600" s="1" t="n">
        <v>45513</v>
      </c>
      <c r="D600" t="inlineStr">
        <is>
          <t>ÖREBRO LÄN</t>
        </is>
      </c>
      <c r="E600" t="inlineStr">
        <is>
          <t>ÖREBRO</t>
        </is>
      </c>
      <c r="G600" t="n">
        <v>7.5</v>
      </c>
      <c r="H600" t="n">
        <v>0</v>
      </c>
      <c r="I600" t="n">
        <v>0</v>
      </c>
      <c r="J600" t="n">
        <v>0</v>
      </c>
      <c r="K600" t="n">
        <v>0</v>
      </c>
      <c r="L600" t="n">
        <v>0</v>
      </c>
      <c r="M600" t="n">
        <v>0</v>
      </c>
      <c r="N600" t="n">
        <v>0</v>
      </c>
      <c r="O600" t="n">
        <v>0</v>
      </c>
      <c r="P600" t="n">
        <v>0</v>
      </c>
      <c r="Q600" t="n">
        <v>0</v>
      </c>
      <c r="R600" s="2" t="inlineStr"/>
    </row>
    <row r="601" ht="15" customHeight="1">
      <c r="A601" t="inlineStr">
        <is>
          <t>A 3835-2023</t>
        </is>
      </c>
      <c r="B601" s="1" t="n">
        <v>44951</v>
      </c>
      <c r="C601" s="1" t="n">
        <v>45513</v>
      </c>
      <c r="D601" t="inlineStr">
        <is>
          <t>ÖREBRO LÄN</t>
        </is>
      </c>
      <c r="E601" t="inlineStr">
        <is>
          <t>ÖREBRO</t>
        </is>
      </c>
      <c r="G601" t="n">
        <v>7.4</v>
      </c>
      <c r="H601" t="n">
        <v>0</v>
      </c>
      <c r="I601" t="n">
        <v>0</v>
      </c>
      <c r="J601" t="n">
        <v>0</v>
      </c>
      <c r="K601" t="n">
        <v>0</v>
      </c>
      <c r="L601" t="n">
        <v>0</v>
      </c>
      <c r="M601" t="n">
        <v>0</v>
      </c>
      <c r="N601" t="n">
        <v>0</v>
      </c>
      <c r="O601" t="n">
        <v>0</v>
      </c>
      <c r="P601" t="n">
        <v>0</v>
      </c>
      <c r="Q601" t="n">
        <v>0</v>
      </c>
      <c r="R601" s="2" t="inlineStr"/>
    </row>
    <row r="602" ht="15" customHeight="1">
      <c r="A602" t="inlineStr">
        <is>
          <t>A 3841-2023</t>
        </is>
      </c>
      <c r="B602" s="1" t="n">
        <v>44951</v>
      </c>
      <c r="C602" s="1" t="n">
        <v>45513</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3967-2023</t>
        </is>
      </c>
      <c r="B603" s="1" t="n">
        <v>44952</v>
      </c>
      <c r="C603" s="1" t="n">
        <v>45513</v>
      </c>
      <c r="D603" t="inlineStr">
        <is>
          <t>ÖREBRO LÄN</t>
        </is>
      </c>
      <c r="E603" t="inlineStr">
        <is>
          <t>ÖREBRO</t>
        </is>
      </c>
      <c r="G603" t="n">
        <v>5.2</v>
      </c>
      <c r="H603" t="n">
        <v>0</v>
      </c>
      <c r="I603" t="n">
        <v>0</v>
      </c>
      <c r="J603" t="n">
        <v>0</v>
      </c>
      <c r="K603" t="n">
        <v>0</v>
      </c>
      <c r="L603" t="n">
        <v>0</v>
      </c>
      <c r="M603" t="n">
        <v>0</v>
      </c>
      <c r="N603" t="n">
        <v>0</v>
      </c>
      <c r="O603" t="n">
        <v>0</v>
      </c>
      <c r="P603" t="n">
        <v>0</v>
      </c>
      <c r="Q603" t="n">
        <v>0</v>
      </c>
      <c r="R603" s="2" t="inlineStr"/>
    </row>
    <row r="604" ht="15" customHeight="1">
      <c r="A604" t="inlineStr">
        <is>
          <t>A 3964-2023</t>
        </is>
      </c>
      <c r="B604" s="1" t="n">
        <v>44952</v>
      </c>
      <c r="C604" s="1" t="n">
        <v>45513</v>
      </c>
      <c r="D604" t="inlineStr">
        <is>
          <t>ÖREBRO LÄN</t>
        </is>
      </c>
      <c r="E604" t="inlineStr">
        <is>
          <t>ÖREBRO</t>
        </is>
      </c>
      <c r="G604" t="n">
        <v>9.9</v>
      </c>
      <c r="H604" t="n">
        <v>0</v>
      </c>
      <c r="I604" t="n">
        <v>0</v>
      </c>
      <c r="J604" t="n">
        <v>0</v>
      </c>
      <c r="K604" t="n">
        <v>0</v>
      </c>
      <c r="L604" t="n">
        <v>0</v>
      </c>
      <c r="M604" t="n">
        <v>0</v>
      </c>
      <c r="N604" t="n">
        <v>0</v>
      </c>
      <c r="O604" t="n">
        <v>0</v>
      </c>
      <c r="P604" t="n">
        <v>0</v>
      </c>
      <c r="Q604" t="n">
        <v>0</v>
      </c>
      <c r="R604" s="2" t="inlineStr"/>
    </row>
    <row r="605" ht="15" customHeight="1">
      <c r="A605" t="inlineStr">
        <is>
          <t>A 3968-2023</t>
        </is>
      </c>
      <c r="B605" s="1" t="n">
        <v>44952</v>
      </c>
      <c r="C605" s="1" t="n">
        <v>45513</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3958-2023</t>
        </is>
      </c>
      <c r="B606" s="1" t="n">
        <v>44952</v>
      </c>
      <c r="C606" s="1" t="n">
        <v>45513</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5120-2023</t>
        </is>
      </c>
      <c r="B607" s="1" t="n">
        <v>44953</v>
      </c>
      <c r="C607" s="1" t="n">
        <v>45513</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4557-2023</t>
        </is>
      </c>
      <c r="B608" s="1" t="n">
        <v>44956</v>
      </c>
      <c r="C608" s="1" t="n">
        <v>45513</v>
      </c>
      <c r="D608" t="inlineStr">
        <is>
          <t>ÖREBRO LÄN</t>
        </is>
      </c>
      <c r="E608" t="inlineStr">
        <is>
          <t>ÖREBRO</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4416-2023</t>
        </is>
      </c>
      <c r="B609" s="1" t="n">
        <v>44956</v>
      </c>
      <c r="C609" s="1" t="n">
        <v>45513</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5619-2023</t>
        </is>
      </c>
      <c r="B610" s="1" t="n">
        <v>44958</v>
      </c>
      <c r="C610" s="1" t="n">
        <v>45513</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5847-2023</t>
        </is>
      </c>
      <c r="B611" s="1" t="n">
        <v>44963</v>
      </c>
      <c r="C611" s="1" t="n">
        <v>45513</v>
      </c>
      <c r="D611" t="inlineStr">
        <is>
          <t>ÖREBRO LÄN</t>
        </is>
      </c>
      <c r="E611" t="inlineStr">
        <is>
          <t>ÖREBRO</t>
        </is>
      </c>
      <c r="G611" t="n">
        <v>2.3</v>
      </c>
      <c r="H611" t="n">
        <v>0</v>
      </c>
      <c r="I611" t="n">
        <v>0</v>
      </c>
      <c r="J611" t="n">
        <v>0</v>
      </c>
      <c r="K611" t="n">
        <v>0</v>
      </c>
      <c r="L611" t="n">
        <v>0</v>
      </c>
      <c r="M611" t="n">
        <v>0</v>
      </c>
      <c r="N611" t="n">
        <v>0</v>
      </c>
      <c r="O611" t="n">
        <v>0</v>
      </c>
      <c r="P611" t="n">
        <v>0</v>
      </c>
      <c r="Q611" t="n">
        <v>0</v>
      </c>
      <c r="R611" s="2" t="inlineStr"/>
    </row>
    <row r="612" ht="15" customHeight="1">
      <c r="A612" t="inlineStr">
        <is>
          <t>A 5883-2023</t>
        </is>
      </c>
      <c r="B612" s="1" t="n">
        <v>44963</v>
      </c>
      <c r="C612" s="1" t="n">
        <v>45513</v>
      </c>
      <c r="D612" t="inlineStr">
        <is>
          <t>ÖREBRO LÄN</t>
        </is>
      </c>
      <c r="E612" t="inlineStr">
        <is>
          <t>ÖREBRO</t>
        </is>
      </c>
      <c r="G612" t="n">
        <v>1.5</v>
      </c>
      <c r="H612" t="n">
        <v>0</v>
      </c>
      <c r="I612" t="n">
        <v>0</v>
      </c>
      <c r="J612" t="n">
        <v>0</v>
      </c>
      <c r="K612" t="n">
        <v>0</v>
      </c>
      <c r="L612" t="n">
        <v>0</v>
      </c>
      <c r="M612" t="n">
        <v>0</v>
      </c>
      <c r="N612" t="n">
        <v>0</v>
      </c>
      <c r="O612" t="n">
        <v>0</v>
      </c>
      <c r="P612" t="n">
        <v>0</v>
      </c>
      <c r="Q612" t="n">
        <v>0</v>
      </c>
      <c r="R612" s="2" t="inlineStr"/>
    </row>
    <row r="613" ht="15" customHeight="1">
      <c r="A613" t="inlineStr">
        <is>
          <t>A 6513-2023</t>
        </is>
      </c>
      <c r="B613" s="1" t="n">
        <v>44966</v>
      </c>
      <c r="C613" s="1" t="n">
        <v>45513</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6522-2023</t>
        </is>
      </c>
      <c r="B614" s="1" t="n">
        <v>44966</v>
      </c>
      <c r="C614" s="1" t="n">
        <v>45513</v>
      </c>
      <c r="D614" t="inlineStr">
        <is>
          <t>ÖREBRO LÄN</t>
        </is>
      </c>
      <c r="E614" t="inlineStr">
        <is>
          <t>ÖREBRO</t>
        </is>
      </c>
      <c r="G614" t="n">
        <v>4.4</v>
      </c>
      <c r="H614" t="n">
        <v>0</v>
      </c>
      <c r="I614" t="n">
        <v>0</v>
      </c>
      <c r="J614" t="n">
        <v>0</v>
      </c>
      <c r="K614" t="n">
        <v>0</v>
      </c>
      <c r="L614" t="n">
        <v>0</v>
      </c>
      <c r="M614" t="n">
        <v>0</v>
      </c>
      <c r="N614" t="n">
        <v>0</v>
      </c>
      <c r="O614" t="n">
        <v>0</v>
      </c>
      <c r="P614" t="n">
        <v>0</v>
      </c>
      <c r="Q614" t="n">
        <v>0</v>
      </c>
      <c r="R614" s="2" t="inlineStr"/>
    </row>
    <row r="615" ht="15" customHeight="1">
      <c r="A615" t="inlineStr">
        <is>
          <t>A 6528-2023</t>
        </is>
      </c>
      <c r="B615" s="1" t="n">
        <v>44966</v>
      </c>
      <c r="C615" s="1" t="n">
        <v>45513</v>
      </c>
      <c r="D615" t="inlineStr">
        <is>
          <t>ÖREBRO LÄN</t>
        </is>
      </c>
      <c r="E615" t="inlineStr">
        <is>
          <t>ÖREBRO</t>
        </is>
      </c>
      <c r="G615" t="n">
        <v>2.4</v>
      </c>
      <c r="H615" t="n">
        <v>0</v>
      </c>
      <c r="I615" t="n">
        <v>0</v>
      </c>
      <c r="J615" t="n">
        <v>0</v>
      </c>
      <c r="K615" t="n">
        <v>0</v>
      </c>
      <c r="L615" t="n">
        <v>0</v>
      </c>
      <c r="M615" t="n">
        <v>0</v>
      </c>
      <c r="N615" t="n">
        <v>0</v>
      </c>
      <c r="O615" t="n">
        <v>0</v>
      </c>
      <c r="P615" t="n">
        <v>0</v>
      </c>
      <c r="Q615" t="n">
        <v>0</v>
      </c>
      <c r="R615" s="2" t="inlineStr"/>
    </row>
    <row r="616" ht="15" customHeight="1">
      <c r="A616" t="inlineStr">
        <is>
          <t>A 8584-2023</t>
        </is>
      </c>
      <c r="B616" s="1" t="n">
        <v>44977</v>
      </c>
      <c r="C616" s="1" t="n">
        <v>45513</v>
      </c>
      <c r="D616" t="inlineStr">
        <is>
          <t>ÖREBRO LÄN</t>
        </is>
      </c>
      <c r="E616" t="inlineStr">
        <is>
          <t>ÖREBRO</t>
        </is>
      </c>
      <c r="F616" t="inlineStr">
        <is>
          <t>Kommuner</t>
        </is>
      </c>
      <c r="G616" t="n">
        <v>1.2</v>
      </c>
      <c r="H616" t="n">
        <v>0</v>
      </c>
      <c r="I616" t="n">
        <v>0</v>
      </c>
      <c r="J616" t="n">
        <v>0</v>
      </c>
      <c r="K616" t="n">
        <v>0</v>
      </c>
      <c r="L616" t="n">
        <v>0</v>
      </c>
      <c r="M616" t="n">
        <v>0</v>
      </c>
      <c r="N616" t="n">
        <v>0</v>
      </c>
      <c r="O616" t="n">
        <v>0</v>
      </c>
      <c r="P616" t="n">
        <v>0</v>
      </c>
      <c r="Q616" t="n">
        <v>0</v>
      </c>
      <c r="R616" s="2" t="inlineStr"/>
    </row>
    <row r="617" ht="15" customHeight="1">
      <c r="A617" t="inlineStr">
        <is>
          <t>A 9314-2023</t>
        </is>
      </c>
      <c r="B617" s="1" t="n">
        <v>44980</v>
      </c>
      <c r="C617" s="1" t="n">
        <v>45513</v>
      </c>
      <c r="D617" t="inlineStr">
        <is>
          <t>ÖREBRO LÄN</t>
        </is>
      </c>
      <c r="E617" t="inlineStr">
        <is>
          <t>ÖREBRO</t>
        </is>
      </c>
      <c r="G617" t="n">
        <v>0.8</v>
      </c>
      <c r="H617" t="n">
        <v>0</v>
      </c>
      <c r="I617" t="n">
        <v>0</v>
      </c>
      <c r="J617" t="n">
        <v>0</v>
      </c>
      <c r="K617" t="n">
        <v>0</v>
      </c>
      <c r="L617" t="n">
        <v>0</v>
      </c>
      <c r="M617" t="n">
        <v>0</v>
      </c>
      <c r="N617" t="n">
        <v>0</v>
      </c>
      <c r="O617" t="n">
        <v>0</v>
      </c>
      <c r="P617" t="n">
        <v>0</v>
      </c>
      <c r="Q617" t="n">
        <v>0</v>
      </c>
      <c r="R617" s="2" t="inlineStr"/>
    </row>
    <row r="618" ht="15" customHeight="1">
      <c r="A618" t="inlineStr">
        <is>
          <t>A 9609-2023</t>
        </is>
      </c>
      <c r="B618" s="1" t="n">
        <v>44983</v>
      </c>
      <c r="C618" s="1" t="n">
        <v>45513</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9704-2023</t>
        </is>
      </c>
      <c r="B619" s="1" t="n">
        <v>44984</v>
      </c>
      <c r="C619" s="1" t="n">
        <v>45513</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10339-2023</t>
        </is>
      </c>
      <c r="B620" s="1" t="n">
        <v>44987</v>
      </c>
      <c r="C620" s="1" t="n">
        <v>45513</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10832-2023</t>
        </is>
      </c>
      <c r="B621" s="1" t="n">
        <v>44990</v>
      </c>
      <c r="C621" s="1" t="n">
        <v>45513</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10829-2023</t>
        </is>
      </c>
      <c r="B622" s="1" t="n">
        <v>44990</v>
      </c>
      <c r="C622" s="1" t="n">
        <v>45513</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10831-2023</t>
        </is>
      </c>
      <c r="B623" s="1" t="n">
        <v>44990</v>
      </c>
      <c r="C623" s="1" t="n">
        <v>45513</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10830-2023</t>
        </is>
      </c>
      <c r="B624" s="1" t="n">
        <v>44990</v>
      </c>
      <c r="C624" s="1" t="n">
        <v>45513</v>
      </c>
      <c r="D624" t="inlineStr">
        <is>
          <t>ÖREBRO LÄN</t>
        </is>
      </c>
      <c r="E624" t="inlineStr">
        <is>
          <t>ÖREBRO</t>
        </is>
      </c>
      <c r="G624" t="n">
        <v>2</v>
      </c>
      <c r="H624" t="n">
        <v>0</v>
      </c>
      <c r="I624" t="n">
        <v>0</v>
      </c>
      <c r="J624" t="n">
        <v>0</v>
      </c>
      <c r="K624" t="n">
        <v>0</v>
      </c>
      <c r="L624" t="n">
        <v>0</v>
      </c>
      <c r="M624" t="n">
        <v>0</v>
      </c>
      <c r="N624" t="n">
        <v>0</v>
      </c>
      <c r="O624" t="n">
        <v>0</v>
      </c>
      <c r="P624" t="n">
        <v>0</v>
      </c>
      <c r="Q624" t="n">
        <v>0</v>
      </c>
      <c r="R624" s="2" t="inlineStr"/>
    </row>
    <row r="625" ht="15" customHeight="1">
      <c r="A625" t="inlineStr">
        <is>
          <t>A 11118-2023</t>
        </is>
      </c>
      <c r="B625" s="1" t="n">
        <v>44992</v>
      </c>
      <c r="C625" s="1" t="n">
        <v>45513</v>
      </c>
      <c r="D625" t="inlineStr">
        <is>
          <t>ÖREBRO LÄN</t>
        </is>
      </c>
      <c r="E625" t="inlineStr">
        <is>
          <t>ÖREBRO</t>
        </is>
      </c>
      <c r="G625" t="n">
        <v>2.5</v>
      </c>
      <c r="H625" t="n">
        <v>0</v>
      </c>
      <c r="I625" t="n">
        <v>0</v>
      </c>
      <c r="J625" t="n">
        <v>0</v>
      </c>
      <c r="K625" t="n">
        <v>0</v>
      </c>
      <c r="L625" t="n">
        <v>0</v>
      </c>
      <c r="M625" t="n">
        <v>0</v>
      </c>
      <c r="N625" t="n">
        <v>0</v>
      </c>
      <c r="O625" t="n">
        <v>0</v>
      </c>
      <c r="P625" t="n">
        <v>0</v>
      </c>
      <c r="Q625" t="n">
        <v>0</v>
      </c>
      <c r="R625" s="2" t="inlineStr"/>
    </row>
    <row r="626" ht="15" customHeight="1">
      <c r="A626" t="inlineStr">
        <is>
          <t>A 11473-2023</t>
        </is>
      </c>
      <c r="B626" s="1" t="n">
        <v>44993</v>
      </c>
      <c r="C626" s="1" t="n">
        <v>45513</v>
      </c>
      <c r="D626" t="inlineStr">
        <is>
          <t>ÖREBRO LÄN</t>
        </is>
      </c>
      <c r="E626" t="inlineStr">
        <is>
          <t>ÖREBRO</t>
        </is>
      </c>
      <c r="G626" t="n">
        <v>2.6</v>
      </c>
      <c r="H626" t="n">
        <v>0</v>
      </c>
      <c r="I626" t="n">
        <v>0</v>
      </c>
      <c r="J626" t="n">
        <v>0</v>
      </c>
      <c r="K626" t="n">
        <v>0</v>
      </c>
      <c r="L626" t="n">
        <v>0</v>
      </c>
      <c r="M626" t="n">
        <v>0</v>
      </c>
      <c r="N626" t="n">
        <v>0</v>
      </c>
      <c r="O626" t="n">
        <v>0</v>
      </c>
      <c r="P626" t="n">
        <v>0</v>
      </c>
      <c r="Q626" t="n">
        <v>0</v>
      </c>
      <c r="R626" s="2" t="inlineStr"/>
    </row>
    <row r="627" ht="15" customHeight="1">
      <c r="A627" t="inlineStr">
        <is>
          <t>A 11382-2023</t>
        </is>
      </c>
      <c r="B627" s="1" t="n">
        <v>44993</v>
      </c>
      <c r="C627" s="1" t="n">
        <v>45513</v>
      </c>
      <c r="D627" t="inlineStr">
        <is>
          <t>ÖREBRO LÄN</t>
        </is>
      </c>
      <c r="E627" t="inlineStr">
        <is>
          <t>ÖREBRO</t>
        </is>
      </c>
      <c r="G627" t="n">
        <v>3.3</v>
      </c>
      <c r="H627" t="n">
        <v>0</v>
      </c>
      <c r="I627" t="n">
        <v>0</v>
      </c>
      <c r="J627" t="n">
        <v>0</v>
      </c>
      <c r="K627" t="n">
        <v>0</v>
      </c>
      <c r="L627" t="n">
        <v>0</v>
      </c>
      <c r="M627" t="n">
        <v>0</v>
      </c>
      <c r="N627" t="n">
        <v>0</v>
      </c>
      <c r="O627" t="n">
        <v>0</v>
      </c>
      <c r="P627" t="n">
        <v>0</v>
      </c>
      <c r="Q627" t="n">
        <v>0</v>
      </c>
      <c r="R627" s="2" t="inlineStr"/>
    </row>
    <row r="628" ht="15" customHeight="1">
      <c r="A628" t="inlineStr">
        <is>
          <t>A 11391-2023</t>
        </is>
      </c>
      <c r="B628" s="1" t="n">
        <v>44993</v>
      </c>
      <c r="C628" s="1" t="n">
        <v>45513</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11565-2023</t>
        </is>
      </c>
      <c r="B629" s="1" t="n">
        <v>44994</v>
      </c>
      <c r="C629" s="1" t="n">
        <v>45513</v>
      </c>
      <c r="D629" t="inlineStr">
        <is>
          <t>ÖREBRO LÄN</t>
        </is>
      </c>
      <c r="E629" t="inlineStr">
        <is>
          <t>ÖREBRO</t>
        </is>
      </c>
      <c r="G629" t="n">
        <v>4.7</v>
      </c>
      <c r="H629" t="n">
        <v>0</v>
      </c>
      <c r="I629" t="n">
        <v>0</v>
      </c>
      <c r="J629" t="n">
        <v>0</v>
      </c>
      <c r="K629" t="n">
        <v>0</v>
      </c>
      <c r="L629" t="n">
        <v>0</v>
      </c>
      <c r="M629" t="n">
        <v>0</v>
      </c>
      <c r="N629" t="n">
        <v>0</v>
      </c>
      <c r="O629" t="n">
        <v>0</v>
      </c>
      <c r="P629" t="n">
        <v>0</v>
      </c>
      <c r="Q629" t="n">
        <v>0</v>
      </c>
      <c r="R629" s="2" t="inlineStr"/>
    </row>
    <row r="630" ht="15" customHeight="1">
      <c r="A630" t="inlineStr">
        <is>
          <t>A 12099-2023</t>
        </is>
      </c>
      <c r="B630" s="1" t="n">
        <v>44998</v>
      </c>
      <c r="C630" s="1" t="n">
        <v>45513</v>
      </c>
      <c r="D630" t="inlineStr">
        <is>
          <t>ÖREBRO LÄN</t>
        </is>
      </c>
      <c r="E630" t="inlineStr">
        <is>
          <t>ÖREBRO</t>
        </is>
      </c>
      <c r="G630" t="n">
        <v>0.9</v>
      </c>
      <c r="H630" t="n">
        <v>0</v>
      </c>
      <c r="I630" t="n">
        <v>0</v>
      </c>
      <c r="J630" t="n">
        <v>0</v>
      </c>
      <c r="K630" t="n">
        <v>0</v>
      </c>
      <c r="L630" t="n">
        <v>0</v>
      </c>
      <c r="M630" t="n">
        <v>0</v>
      </c>
      <c r="N630" t="n">
        <v>0</v>
      </c>
      <c r="O630" t="n">
        <v>0</v>
      </c>
      <c r="P630" t="n">
        <v>0</v>
      </c>
      <c r="Q630" t="n">
        <v>0</v>
      </c>
      <c r="R630" s="2" t="inlineStr"/>
    </row>
    <row r="631" ht="15" customHeight="1">
      <c r="A631" t="inlineStr">
        <is>
          <t>A 12102-2023</t>
        </is>
      </c>
      <c r="B631" s="1" t="n">
        <v>44998</v>
      </c>
      <c r="C631" s="1" t="n">
        <v>45513</v>
      </c>
      <c r="D631" t="inlineStr">
        <is>
          <t>ÖREBRO LÄN</t>
        </is>
      </c>
      <c r="E631" t="inlineStr">
        <is>
          <t>ÖREBRO</t>
        </is>
      </c>
      <c r="G631" t="n">
        <v>3.5</v>
      </c>
      <c r="H631" t="n">
        <v>0</v>
      </c>
      <c r="I631" t="n">
        <v>0</v>
      </c>
      <c r="J631" t="n">
        <v>0</v>
      </c>
      <c r="K631" t="n">
        <v>0</v>
      </c>
      <c r="L631" t="n">
        <v>0</v>
      </c>
      <c r="M631" t="n">
        <v>0</v>
      </c>
      <c r="N631" t="n">
        <v>0</v>
      </c>
      <c r="O631" t="n">
        <v>0</v>
      </c>
      <c r="P631" t="n">
        <v>0</v>
      </c>
      <c r="Q631" t="n">
        <v>0</v>
      </c>
      <c r="R631" s="2" t="inlineStr"/>
    </row>
    <row r="632" ht="15" customHeight="1">
      <c r="A632" t="inlineStr">
        <is>
          <t>A 12245-2023</t>
        </is>
      </c>
      <c r="B632" s="1" t="n">
        <v>44998</v>
      </c>
      <c r="C632" s="1" t="n">
        <v>45513</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12638-2023</t>
        </is>
      </c>
      <c r="B633" s="1" t="n">
        <v>45000</v>
      </c>
      <c r="C633" s="1" t="n">
        <v>45513</v>
      </c>
      <c r="D633" t="inlineStr">
        <is>
          <t>ÖREBRO LÄN</t>
        </is>
      </c>
      <c r="E633" t="inlineStr">
        <is>
          <t>ÖREBRO</t>
        </is>
      </c>
      <c r="F633" t="inlineStr">
        <is>
          <t>Övriga Aktiebolag</t>
        </is>
      </c>
      <c r="G633" t="n">
        <v>6.3</v>
      </c>
      <c r="H633" t="n">
        <v>0</v>
      </c>
      <c r="I633" t="n">
        <v>0</v>
      </c>
      <c r="J633" t="n">
        <v>0</v>
      </c>
      <c r="K633" t="n">
        <v>0</v>
      </c>
      <c r="L633" t="n">
        <v>0</v>
      </c>
      <c r="M633" t="n">
        <v>0</v>
      </c>
      <c r="N633" t="n">
        <v>0</v>
      </c>
      <c r="O633" t="n">
        <v>0</v>
      </c>
      <c r="P633" t="n">
        <v>0</v>
      </c>
      <c r="Q633" t="n">
        <v>0</v>
      </c>
      <c r="R633" s="2" t="inlineStr"/>
    </row>
    <row r="634" ht="15" customHeight="1">
      <c r="A634" t="inlineStr">
        <is>
          <t>A 12682-2023</t>
        </is>
      </c>
      <c r="B634" s="1" t="n">
        <v>45000</v>
      </c>
      <c r="C634" s="1" t="n">
        <v>45513</v>
      </c>
      <c r="D634" t="inlineStr">
        <is>
          <t>ÖREBRO LÄN</t>
        </is>
      </c>
      <c r="E634" t="inlineStr">
        <is>
          <t>ÖREBRO</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13181-2023</t>
        </is>
      </c>
      <c r="B635" s="1" t="n">
        <v>45002</v>
      </c>
      <c r="C635" s="1" t="n">
        <v>45513</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13355-2023</t>
        </is>
      </c>
      <c r="B636" s="1" t="n">
        <v>45004</v>
      </c>
      <c r="C636" s="1" t="n">
        <v>45513</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13347-2023</t>
        </is>
      </c>
      <c r="B637" s="1" t="n">
        <v>45004</v>
      </c>
      <c r="C637" s="1" t="n">
        <v>45513</v>
      </c>
      <c r="D637" t="inlineStr">
        <is>
          <t>ÖREBRO LÄN</t>
        </is>
      </c>
      <c r="E637" t="inlineStr">
        <is>
          <t>ÖREBRO</t>
        </is>
      </c>
      <c r="G637" t="n">
        <v>1.3</v>
      </c>
      <c r="H637" t="n">
        <v>0</v>
      </c>
      <c r="I637" t="n">
        <v>0</v>
      </c>
      <c r="J637" t="n">
        <v>0</v>
      </c>
      <c r="K637" t="n">
        <v>0</v>
      </c>
      <c r="L637" t="n">
        <v>0</v>
      </c>
      <c r="M637" t="n">
        <v>0</v>
      </c>
      <c r="N637" t="n">
        <v>0</v>
      </c>
      <c r="O637" t="n">
        <v>0</v>
      </c>
      <c r="P637" t="n">
        <v>0</v>
      </c>
      <c r="Q637" t="n">
        <v>0</v>
      </c>
      <c r="R637" s="2" t="inlineStr"/>
    </row>
    <row r="638" ht="15" customHeight="1">
      <c r="A638" t="inlineStr">
        <is>
          <t>A 13592-2023</t>
        </is>
      </c>
      <c r="B638" s="1" t="n">
        <v>45006</v>
      </c>
      <c r="C638" s="1" t="n">
        <v>45513</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13762-2023</t>
        </is>
      </c>
      <c r="B639" s="1" t="n">
        <v>45007</v>
      </c>
      <c r="C639" s="1" t="n">
        <v>45513</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13763-2023</t>
        </is>
      </c>
      <c r="B640" s="1" t="n">
        <v>45007</v>
      </c>
      <c r="C640" s="1" t="n">
        <v>45513</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13764-2023</t>
        </is>
      </c>
      <c r="B641" s="1" t="n">
        <v>45007</v>
      </c>
      <c r="C641" s="1" t="n">
        <v>45513</v>
      </c>
      <c r="D641" t="inlineStr">
        <is>
          <t>ÖREBRO LÄN</t>
        </is>
      </c>
      <c r="E641" t="inlineStr">
        <is>
          <t>ÖREBRO</t>
        </is>
      </c>
      <c r="G641" t="n">
        <v>0.9</v>
      </c>
      <c r="H641" t="n">
        <v>0</v>
      </c>
      <c r="I641" t="n">
        <v>0</v>
      </c>
      <c r="J641" t="n">
        <v>0</v>
      </c>
      <c r="K641" t="n">
        <v>0</v>
      </c>
      <c r="L641" t="n">
        <v>0</v>
      </c>
      <c r="M641" t="n">
        <v>0</v>
      </c>
      <c r="N641" t="n">
        <v>0</v>
      </c>
      <c r="O641" t="n">
        <v>0</v>
      </c>
      <c r="P641" t="n">
        <v>0</v>
      </c>
      <c r="Q641" t="n">
        <v>0</v>
      </c>
      <c r="R641" s="2" t="inlineStr"/>
    </row>
    <row r="642" ht="15" customHeight="1">
      <c r="A642" t="inlineStr">
        <is>
          <t>A 14003-2023</t>
        </is>
      </c>
      <c r="B642" s="1" t="n">
        <v>45007</v>
      </c>
      <c r="C642" s="1" t="n">
        <v>45513</v>
      </c>
      <c r="D642" t="inlineStr">
        <is>
          <t>ÖREBRO LÄN</t>
        </is>
      </c>
      <c r="E642" t="inlineStr">
        <is>
          <t>ÖREBRO</t>
        </is>
      </c>
      <c r="G642" t="n">
        <v>3.1</v>
      </c>
      <c r="H642" t="n">
        <v>0</v>
      </c>
      <c r="I642" t="n">
        <v>0</v>
      </c>
      <c r="J642" t="n">
        <v>0</v>
      </c>
      <c r="K642" t="n">
        <v>0</v>
      </c>
      <c r="L642" t="n">
        <v>0</v>
      </c>
      <c r="M642" t="n">
        <v>0</v>
      </c>
      <c r="N642" t="n">
        <v>0</v>
      </c>
      <c r="O642" t="n">
        <v>0</v>
      </c>
      <c r="P642" t="n">
        <v>0</v>
      </c>
      <c r="Q642" t="n">
        <v>0</v>
      </c>
      <c r="R642" s="2" t="inlineStr"/>
    </row>
    <row r="643" ht="15" customHeight="1">
      <c r="A643" t="inlineStr">
        <is>
          <t>A 13912-2023</t>
        </is>
      </c>
      <c r="B643" s="1" t="n">
        <v>45008</v>
      </c>
      <c r="C643" s="1" t="n">
        <v>45513</v>
      </c>
      <c r="D643" t="inlineStr">
        <is>
          <t>ÖREBRO LÄN</t>
        </is>
      </c>
      <c r="E643" t="inlineStr">
        <is>
          <t>ÖREBRO</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14289-2023</t>
        </is>
      </c>
      <c r="B644" s="1" t="n">
        <v>45010</v>
      </c>
      <c r="C644" s="1" t="n">
        <v>45513</v>
      </c>
      <c r="D644" t="inlineStr">
        <is>
          <t>ÖREBRO LÄN</t>
        </is>
      </c>
      <c r="E644" t="inlineStr">
        <is>
          <t>ÖREBRO</t>
        </is>
      </c>
      <c r="G644" t="n">
        <v>1.5</v>
      </c>
      <c r="H644" t="n">
        <v>0</v>
      </c>
      <c r="I644" t="n">
        <v>0</v>
      </c>
      <c r="J644" t="n">
        <v>0</v>
      </c>
      <c r="K644" t="n">
        <v>0</v>
      </c>
      <c r="L644" t="n">
        <v>0</v>
      </c>
      <c r="M644" t="n">
        <v>0</v>
      </c>
      <c r="N644" t="n">
        <v>0</v>
      </c>
      <c r="O644" t="n">
        <v>0</v>
      </c>
      <c r="P644" t="n">
        <v>0</v>
      </c>
      <c r="Q644" t="n">
        <v>0</v>
      </c>
      <c r="R644" s="2" t="inlineStr"/>
    </row>
    <row r="645" ht="15" customHeight="1">
      <c r="A645" t="inlineStr">
        <is>
          <t>A 14291-2023</t>
        </is>
      </c>
      <c r="B645" s="1" t="n">
        <v>45010</v>
      </c>
      <c r="C645" s="1" t="n">
        <v>45513</v>
      </c>
      <c r="D645" t="inlineStr">
        <is>
          <t>ÖREBRO LÄN</t>
        </is>
      </c>
      <c r="E645" t="inlineStr">
        <is>
          <t>ÖREBRO</t>
        </is>
      </c>
      <c r="G645" t="n">
        <v>0.8</v>
      </c>
      <c r="H645" t="n">
        <v>0</v>
      </c>
      <c r="I645" t="n">
        <v>0</v>
      </c>
      <c r="J645" t="n">
        <v>0</v>
      </c>
      <c r="K645" t="n">
        <v>0</v>
      </c>
      <c r="L645" t="n">
        <v>0</v>
      </c>
      <c r="M645" t="n">
        <v>0</v>
      </c>
      <c r="N645" t="n">
        <v>0</v>
      </c>
      <c r="O645" t="n">
        <v>0</v>
      </c>
      <c r="P645" t="n">
        <v>0</v>
      </c>
      <c r="Q645" t="n">
        <v>0</v>
      </c>
      <c r="R645" s="2" t="inlineStr"/>
    </row>
    <row r="646" ht="15" customHeight="1">
      <c r="A646" t="inlineStr">
        <is>
          <t>A 14290-2023</t>
        </is>
      </c>
      <c r="B646" s="1" t="n">
        <v>45010</v>
      </c>
      <c r="C646" s="1" t="n">
        <v>45513</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14469-2023</t>
        </is>
      </c>
      <c r="B647" s="1" t="n">
        <v>45012</v>
      </c>
      <c r="C647" s="1" t="n">
        <v>45513</v>
      </c>
      <c r="D647" t="inlineStr">
        <is>
          <t>ÖREBRO LÄN</t>
        </is>
      </c>
      <c r="E647" t="inlineStr">
        <is>
          <t>ÖREBRO</t>
        </is>
      </c>
      <c r="G647" t="n">
        <v>1.8</v>
      </c>
      <c r="H647" t="n">
        <v>0</v>
      </c>
      <c r="I647" t="n">
        <v>0</v>
      </c>
      <c r="J647" t="n">
        <v>0</v>
      </c>
      <c r="K647" t="n">
        <v>0</v>
      </c>
      <c r="L647" t="n">
        <v>0</v>
      </c>
      <c r="M647" t="n">
        <v>0</v>
      </c>
      <c r="N647" t="n">
        <v>0</v>
      </c>
      <c r="O647" t="n">
        <v>0</v>
      </c>
      <c r="P647" t="n">
        <v>0</v>
      </c>
      <c r="Q647" t="n">
        <v>0</v>
      </c>
      <c r="R647" s="2" t="inlineStr"/>
    </row>
    <row r="648" ht="15" customHeight="1">
      <c r="A648" t="inlineStr">
        <is>
          <t>A 14432-2023</t>
        </is>
      </c>
      <c r="B648" s="1" t="n">
        <v>45012</v>
      </c>
      <c r="C648" s="1" t="n">
        <v>45513</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14487-2023</t>
        </is>
      </c>
      <c r="B649" s="1" t="n">
        <v>45012</v>
      </c>
      <c r="C649" s="1" t="n">
        <v>45513</v>
      </c>
      <c r="D649" t="inlineStr">
        <is>
          <t>ÖREBRO LÄN</t>
        </is>
      </c>
      <c r="E649" t="inlineStr">
        <is>
          <t>ÖREBRO</t>
        </is>
      </c>
      <c r="G649" t="n">
        <v>0.5</v>
      </c>
      <c r="H649" t="n">
        <v>0</v>
      </c>
      <c r="I649" t="n">
        <v>0</v>
      </c>
      <c r="J649" t="n">
        <v>0</v>
      </c>
      <c r="K649" t="n">
        <v>0</v>
      </c>
      <c r="L649" t="n">
        <v>0</v>
      </c>
      <c r="M649" t="n">
        <v>0</v>
      </c>
      <c r="N649" t="n">
        <v>0</v>
      </c>
      <c r="O649" t="n">
        <v>0</v>
      </c>
      <c r="P649" t="n">
        <v>0</v>
      </c>
      <c r="Q649" t="n">
        <v>0</v>
      </c>
      <c r="R649" s="2" t="inlineStr"/>
    </row>
    <row r="650" ht="15" customHeight="1">
      <c r="A650" t="inlineStr">
        <is>
          <t>A 14543-2023</t>
        </is>
      </c>
      <c r="B650" s="1" t="n">
        <v>45013</v>
      </c>
      <c r="C650" s="1" t="n">
        <v>45513</v>
      </c>
      <c r="D650" t="inlineStr">
        <is>
          <t>ÖREBRO LÄN</t>
        </is>
      </c>
      <c r="E650" t="inlineStr">
        <is>
          <t>ÖREBRO</t>
        </is>
      </c>
      <c r="G650" t="n">
        <v>4.5</v>
      </c>
      <c r="H650" t="n">
        <v>0</v>
      </c>
      <c r="I650" t="n">
        <v>0</v>
      </c>
      <c r="J650" t="n">
        <v>0</v>
      </c>
      <c r="K650" t="n">
        <v>0</v>
      </c>
      <c r="L650" t="n">
        <v>0</v>
      </c>
      <c r="M650" t="n">
        <v>0</v>
      </c>
      <c r="N650" t="n">
        <v>0</v>
      </c>
      <c r="O650" t="n">
        <v>0</v>
      </c>
      <c r="P650" t="n">
        <v>0</v>
      </c>
      <c r="Q650" t="n">
        <v>0</v>
      </c>
      <c r="R650" s="2" t="inlineStr"/>
    </row>
    <row r="651" ht="15" customHeight="1">
      <c r="A651" t="inlineStr">
        <is>
          <t>A 14544-2023</t>
        </is>
      </c>
      <c r="B651" s="1" t="n">
        <v>45013</v>
      </c>
      <c r="C651" s="1" t="n">
        <v>45513</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14571-2023</t>
        </is>
      </c>
      <c r="B652" s="1" t="n">
        <v>45013</v>
      </c>
      <c r="C652" s="1" t="n">
        <v>45513</v>
      </c>
      <c r="D652" t="inlineStr">
        <is>
          <t>ÖREBRO LÄN</t>
        </is>
      </c>
      <c r="E652" t="inlineStr">
        <is>
          <t>ÖREBRO</t>
        </is>
      </c>
      <c r="G652" t="n">
        <v>3</v>
      </c>
      <c r="H652" t="n">
        <v>0</v>
      </c>
      <c r="I652" t="n">
        <v>0</v>
      </c>
      <c r="J652" t="n">
        <v>0</v>
      </c>
      <c r="K652" t="n">
        <v>0</v>
      </c>
      <c r="L652" t="n">
        <v>0</v>
      </c>
      <c r="M652" t="n">
        <v>0</v>
      </c>
      <c r="N652" t="n">
        <v>0</v>
      </c>
      <c r="O652" t="n">
        <v>0</v>
      </c>
      <c r="P652" t="n">
        <v>0</v>
      </c>
      <c r="Q652" t="n">
        <v>0</v>
      </c>
      <c r="R652" s="2" t="inlineStr"/>
    </row>
    <row r="653" ht="15" customHeight="1">
      <c r="A653" t="inlineStr">
        <is>
          <t>A 14545-2023</t>
        </is>
      </c>
      <c r="B653" s="1" t="n">
        <v>45013</v>
      </c>
      <c r="C653" s="1" t="n">
        <v>45513</v>
      </c>
      <c r="D653" t="inlineStr">
        <is>
          <t>ÖREBRO LÄN</t>
        </is>
      </c>
      <c r="E653" t="inlineStr">
        <is>
          <t>ÖREBRO</t>
        </is>
      </c>
      <c r="G653" t="n">
        <v>2.5</v>
      </c>
      <c r="H653" t="n">
        <v>0</v>
      </c>
      <c r="I653" t="n">
        <v>0</v>
      </c>
      <c r="J653" t="n">
        <v>0</v>
      </c>
      <c r="K653" t="n">
        <v>0</v>
      </c>
      <c r="L653" t="n">
        <v>0</v>
      </c>
      <c r="M653" t="n">
        <v>0</v>
      </c>
      <c r="N653" t="n">
        <v>0</v>
      </c>
      <c r="O653" t="n">
        <v>0</v>
      </c>
      <c r="P653" t="n">
        <v>0</v>
      </c>
      <c r="Q653" t="n">
        <v>0</v>
      </c>
      <c r="R653" s="2" t="inlineStr"/>
    </row>
    <row r="654" ht="15" customHeight="1">
      <c r="A654" t="inlineStr">
        <is>
          <t>A 14630-2023</t>
        </is>
      </c>
      <c r="B654" s="1" t="n">
        <v>45013</v>
      </c>
      <c r="C654" s="1" t="n">
        <v>45513</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15473-2023</t>
        </is>
      </c>
      <c r="B655" s="1" t="n">
        <v>45016</v>
      </c>
      <c r="C655" s="1" t="n">
        <v>45513</v>
      </c>
      <c r="D655" t="inlineStr">
        <is>
          <t>ÖREBRO LÄN</t>
        </is>
      </c>
      <c r="E655" t="inlineStr">
        <is>
          <t>ÖREBRO</t>
        </is>
      </c>
      <c r="G655" t="n">
        <v>3.8</v>
      </c>
      <c r="H655" t="n">
        <v>0</v>
      </c>
      <c r="I655" t="n">
        <v>0</v>
      </c>
      <c r="J655" t="n">
        <v>0</v>
      </c>
      <c r="K655" t="n">
        <v>0</v>
      </c>
      <c r="L655" t="n">
        <v>0</v>
      </c>
      <c r="M655" t="n">
        <v>0</v>
      </c>
      <c r="N655" t="n">
        <v>0</v>
      </c>
      <c r="O655" t="n">
        <v>0</v>
      </c>
      <c r="P655" t="n">
        <v>0</v>
      </c>
      <c r="Q655" t="n">
        <v>0</v>
      </c>
      <c r="R655" s="2" t="inlineStr"/>
    </row>
    <row r="656" ht="15" customHeight="1">
      <c r="A656" t="inlineStr">
        <is>
          <t>A 15679-2023</t>
        </is>
      </c>
      <c r="B656" s="1" t="n">
        <v>45021</v>
      </c>
      <c r="C656" s="1" t="n">
        <v>45513</v>
      </c>
      <c r="D656" t="inlineStr">
        <is>
          <t>ÖREBRO LÄN</t>
        </is>
      </c>
      <c r="E656" t="inlineStr">
        <is>
          <t>ÖREBRO</t>
        </is>
      </c>
      <c r="G656" t="n">
        <v>4.2</v>
      </c>
      <c r="H656" t="n">
        <v>0</v>
      </c>
      <c r="I656" t="n">
        <v>0</v>
      </c>
      <c r="J656" t="n">
        <v>0</v>
      </c>
      <c r="K656" t="n">
        <v>0</v>
      </c>
      <c r="L656" t="n">
        <v>0</v>
      </c>
      <c r="M656" t="n">
        <v>0</v>
      </c>
      <c r="N656" t="n">
        <v>0</v>
      </c>
      <c r="O656" t="n">
        <v>0</v>
      </c>
      <c r="P656" t="n">
        <v>0</v>
      </c>
      <c r="Q656" t="n">
        <v>0</v>
      </c>
      <c r="R656" s="2" t="inlineStr"/>
    </row>
    <row r="657" ht="15" customHeight="1">
      <c r="A657" t="inlineStr">
        <is>
          <t>A 15789-2023</t>
        </is>
      </c>
      <c r="B657" s="1" t="n">
        <v>45021</v>
      </c>
      <c r="C657" s="1" t="n">
        <v>45513</v>
      </c>
      <c r="D657" t="inlineStr">
        <is>
          <t>ÖREBRO LÄN</t>
        </is>
      </c>
      <c r="E657" t="inlineStr">
        <is>
          <t>ÖREBRO</t>
        </is>
      </c>
      <c r="F657" t="inlineStr">
        <is>
          <t>Övriga Aktiebolag</t>
        </is>
      </c>
      <c r="G657" t="n">
        <v>3.7</v>
      </c>
      <c r="H657" t="n">
        <v>0</v>
      </c>
      <c r="I657" t="n">
        <v>0</v>
      </c>
      <c r="J657" t="n">
        <v>0</v>
      </c>
      <c r="K657" t="n">
        <v>0</v>
      </c>
      <c r="L657" t="n">
        <v>0</v>
      </c>
      <c r="M657" t="n">
        <v>0</v>
      </c>
      <c r="N657" t="n">
        <v>0</v>
      </c>
      <c r="O657" t="n">
        <v>0</v>
      </c>
      <c r="P657" t="n">
        <v>0</v>
      </c>
      <c r="Q657" t="n">
        <v>0</v>
      </c>
      <c r="R657" s="2" t="inlineStr"/>
    </row>
    <row r="658" ht="15" customHeight="1">
      <c r="A658" t="inlineStr">
        <is>
          <t>A 15682-2023</t>
        </is>
      </c>
      <c r="B658" s="1" t="n">
        <v>45021</v>
      </c>
      <c r="C658" s="1" t="n">
        <v>45513</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16140-2023</t>
        </is>
      </c>
      <c r="B659" s="1" t="n">
        <v>45027</v>
      </c>
      <c r="C659" s="1" t="n">
        <v>45513</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16165-2023</t>
        </is>
      </c>
      <c r="B660" s="1" t="n">
        <v>45027</v>
      </c>
      <c r="C660" s="1" t="n">
        <v>45513</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16908-2023</t>
        </is>
      </c>
      <c r="B661" s="1" t="n">
        <v>45028</v>
      </c>
      <c r="C661" s="1" t="n">
        <v>45513</v>
      </c>
      <c r="D661" t="inlineStr">
        <is>
          <t>ÖREBRO LÄN</t>
        </is>
      </c>
      <c r="E661" t="inlineStr">
        <is>
          <t>ÖREBRO</t>
        </is>
      </c>
      <c r="G661" t="n">
        <v>1.4</v>
      </c>
      <c r="H661" t="n">
        <v>0</v>
      </c>
      <c r="I661" t="n">
        <v>0</v>
      </c>
      <c r="J661" t="n">
        <v>0</v>
      </c>
      <c r="K661" t="n">
        <v>0</v>
      </c>
      <c r="L661" t="n">
        <v>0</v>
      </c>
      <c r="M661" t="n">
        <v>0</v>
      </c>
      <c r="N661" t="n">
        <v>0</v>
      </c>
      <c r="O661" t="n">
        <v>0</v>
      </c>
      <c r="P661" t="n">
        <v>0</v>
      </c>
      <c r="Q661" t="n">
        <v>0</v>
      </c>
      <c r="R661" s="2" t="inlineStr"/>
    </row>
    <row r="662" ht="15" customHeight="1">
      <c r="A662" t="inlineStr">
        <is>
          <t>A 16498-2023</t>
        </is>
      </c>
      <c r="B662" s="1" t="n">
        <v>45029</v>
      </c>
      <c r="C662" s="1" t="n">
        <v>45513</v>
      </c>
      <c r="D662" t="inlineStr">
        <is>
          <t>ÖREBRO LÄN</t>
        </is>
      </c>
      <c r="E662" t="inlineStr">
        <is>
          <t>ÖREBRO</t>
        </is>
      </c>
      <c r="G662" t="n">
        <v>9.1</v>
      </c>
      <c r="H662" t="n">
        <v>0</v>
      </c>
      <c r="I662" t="n">
        <v>0</v>
      </c>
      <c r="J662" t="n">
        <v>0</v>
      </c>
      <c r="K662" t="n">
        <v>0</v>
      </c>
      <c r="L662" t="n">
        <v>0</v>
      </c>
      <c r="M662" t="n">
        <v>0</v>
      </c>
      <c r="N662" t="n">
        <v>0</v>
      </c>
      <c r="O662" t="n">
        <v>0</v>
      </c>
      <c r="P662" t="n">
        <v>0</v>
      </c>
      <c r="Q662" t="n">
        <v>0</v>
      </c>
      <c r="R662" s="2" t="inlineStr"/>
    </row>
    <row r="663" ht="15" customHeight="1">
      <c r="A663" t="inlineStr">
        <is>
          <t>A 16739-2023</t>
        </is>
      </c>
      <c r="B663" s="1" t="n">
        <v>45030</v>
      </c>
      <c r="C663" s="1" t="n">
        <v>45513</v>
      </c>
      <c r="D663" t="inlineStr">
        <is>
          <t>ÖREBRO LÄN</t>
        </is>
      </c>
      <c r="E663" t="inlineStr">
        <is>
          <t>ÖREBRO</t>
        </is>
      </c>
      <c r="G663" t="n">
        <v>1.2</v>
      </c>
      <c r="H663" t="n">
        <v>0</v>
      </c>
      <c r="I663" t="n">
        <v>0</v>
      </c>
      <c r="J663" t="n">
        <v>0</v>
      </c>
      <c r="K663" t="n">
        <v>0</v>
      </c>
      <c r="L663" t="n">
        <v>0</v>
      </c>
      <c r="M663" t="n">
        <v>0</v>
      </c>
      <c r="N663" t="n">
        <v>0</v>
      </c>
      <c r="O663" t="n">
        <v>0</v>
      </c>
      <c r="P663" t="n">
        <v>0</v>
      </c>
      <c r="Q663" t="n">
        <v>0</v>
      </c>
      <c r="R663" s="2" t="inlineStr"/>
    </row>
    <row r="664" ht="15" customHeight="1">
      <c r="A664" t="inlineStr">
        <is>
          <t>A 16737-2023</t>
        </is>
      </c>
      <c r="B664" s="1" t="n">
        <v>45030</v>
      </c>
      <c r="C664" s="1" t="n">
        <v>45513</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16736-2023</t>
        </is>
      </c>
      <c r="B665" s="1" t="n">
        <v>45030</v>
      </c>
      <c r="C665" s="1" t="n">
        <v>45513</v>
      </c>
      <c r="D665" t="inlineStr">
        <is>
          <t>ÖREBRO LÄN</t>
        </is>
      </c>
      <c r="E665" t="inlineStr">
        <is>
          <t>ÖREBRO</t>
        </is>
      </c>
      <c r="G665" t="n">
        <v>4</v>
      </c>
      <c r="H665" t="n">
        <v>0</v>
      </c>
      <c r="I665" t="n">
        <v>0</v>
      </c>
      <c r="J665" t="n">
        <v>0</v>
      </c>
      <c r="K665" t="n">
        <v>0</v>
      </c>
      <c r="L665" t="n">
        <v>0</v>
      </c>
      <c r="M665" t="n">
        <v>0</v>
      </c>
      <c r="N665" t="n">
        <v>0</v>
      </c>
      <c r="O665" t="n">
        <v>0</v>
      </c>
      <c r="P665" t="n">
        <v>0</v>
      </c>
      <c r="Q665" t="n">
        <v>0</v>
      </c>
      <c r="R665" s="2" t="inlineStr"/>
    </row>
    <row r="666" ht="15" customHeight="1">
      <c r="A666" t="inlineStr">
        <is>
          <t>A 16742-2023</t>
        </is>
      </c>
      <c r="B666" s="1" t="n">
        <v>45030</v>
      </c>
      <c r="C666" s="1" t="n">
        <v>45513</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16936-2023</t>
        </is>
      </c>
      <c r="B667" s="1" t="n">
        <v>45033</v>
      </c>
      <c r="C667" s="1" t="n">
        <v>45513</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17465-2023</t>
        </is>
      </c>
      <c r="B668" s="1" t="n">
        <v>45036</v>
      </c>
      <c r="C668" s="1" t="n">
        <v>45513</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17476-2023</t>
        </is>
      </c>
      <c r="B669" s="1" t="n">
        <v>45036</v>
      </c>
      <c r="C669" s="1" t="n">
        <v>45513</v>
      </c>
      <c r="D669" t="inlineStr">
        <is>
          <t>ÖREBRO LÄN</t>
        </is>
      </c>
      <c r="E669" t="inlineStr">
        <is>
          <t>ÖREBRO</t>
        </is>
      </c>
      <c r="G669" t="n">
        <v>2.5</v>
      </c>
      <c r="H669" t="n">
        <v>0</v>
      </c>
      <c r="I669" t="n">
        <v>0</v>
      </c>
      <c r="J669" t="n">
        <v>0</v>
      </c>
      <c r="K669" t="n">
        <v>0</v>
      </c>
      <c r="L669" t="n">
        <v>0</v>
      </c>
      <c r="M669" t="n">
        <v>0</v>
      </c>
      <c r="N669" t="n">
        <v>0</v>
      </c>
      <c r="O669" t="n">
        <v>0</v>
      </c>
      <c r="P669" t="n">
        <v>0</v>
      </c>
      <c r="Q669" t="n">
        <v>0</v>
      </c>
      <c r="R669" s="2" t="inlineStr"/>
    </row>
    <row r="670" ht="15" customHeight="1">
      <c r="A670" t="inlineStr">
        <is>
          <t>A 18047-2023</t>
        </is>
      </c>
      <c r="B670" s="1" t="n">
        <v>45040</v>
      </c>
      <c r="C670" s="1" t="n">
        <v>45513</v>
      </c>
      <c r="D670" t="inlineStr">
        <is>
          <t>ÖREBRO LÄN</t>
        </is>
      </c>
      <c r="E670" t="inlineStr">
        <is>
          <t>ÖREBRO</t>
        </is>
      </c>
      <c r="G670" t="n">
        <v>3.9</v>
      </c>
      <c r="H670" t="n">
        <v>0</v>
      </c>
      <c r="I670" t="n">
        <v>0</v>
      </c>
      <c r="J670" t="n">
        <v>0</v>
      </c>
      <c r="K670" t="n">
        <v>0</v>
      </c>
      <c r="L670" t="n">
        <v>0</v>
      </c>
      <c r="M670" t="n">
        <v>0</v>
      </c>
      <c r="N670" t="n">
        <v>0</v>
      </c>
      <c r="O670" t="n">
        <v>0</v>
      </c>
      <c r="P670" t="n">
        <v>0</v>
      </c>
      <c r="Q670" t="n">
        <v>0</v>
      </c>
      <c r="R670" s="2" t="inlineStr"/>
    </row>
    <row r="671" ht="15" customHeight="1">
      <c r="A671" t="inlineStr">
        <is>
          <t>A 18449-2023</t>
        </is>
      </c>
      <c r="B671" s="1" t="n">
        <v>45042</v>
      </c>
      <c r="C671" s="1" t="n">
        <v>45513</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18480-2023</t>
        </is>
      </c>
      <c r="B672" s="1" t="n">
        <v>45042</v>
      </c>
      <c r="C672" s="1" t="n">
        <v>45513</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18396-2023</t>
        </is>
      </c>
      <c r="B673" s="1" t="n">
        <v>45042</v>
      </c>
      <c r="C673" s="1" t="n">
        <v>45513</v>
      </c>
      <c r="D673" t="inlineStr">
        <is>
          <t>ÖREBRO LÄN</t>
        </is>
      </c>
      <c r="E673" t="inlineStr">
        <is>
          <t>ÖREBRO</t>
        </is>
      </c>
      <c r="G673" t="n">
        <v>26.8</v>
      </c>
      <c r="H673" t="n">
        <v>0</v>
      </c>
      <c r="I673" t="n">
        <v>0</v>
      </c>
      <c r="J673" t="n">
        <v>0</v>
      </c>
      <c r="K673" t="n">
        <v>0</v>
      </c>
      <c r="L673" t="n">
        <v>0</v>
      </c>
      <c r="M673" t="n">
        <v>0</v>
      </c>
      <c r="N673" t="n">
        <v>0</v>
      </c>
      <c r="O673" t="n">
        <v>0</v>
      </c>
      <c r="P673" t="n">
        <v>0</v>
      </c>
      <c r="Q673" t="n">
        <v>0</v>
      </c>
      <c r="R673" s="2" t="inlineStr"/>
    </row>
    <row r="674" ht="15" customHeight="1">
      <c r="A674" t="inlineStr">
        <is>
          <t>A 18450-2023</t>
        </is>
      </c>
      <c r="B674" s="1" t="n">
        <v>45042</v>
      </c>
      <c r="C674" s="1" t="n">
        <v>45513</v>
      </c>
      <c r="D674" t="inlineStr">
        <is>
          <t>ÖREBRO LÄN</t>
        </is>
      </c>
      <c r="E674" t="inlineStr">
        <is>
          <t>ÖREBRO</t>
        </is>
      </c>
      <c r="G674" t="n">
        <v>3.3</v>
      </c>
      <c r="H674" t="n">
        <v>0</v>
      </c>
      <c r="I674" t="n">
        <v>0</v>
      </c>
      <c r="J674" t="n">
        <v>0</v>
      </c>
      <c r="K674" t="n">
        <v>0</v>
      </c>
      <c r="L674" t="n">
        <v>0</v>
      </c>
      <c r="M674" t="n">
        <v>0</v>
      </c>
      <c r="N674" t="n">
        <v>0</v>
      </c>
      <c r="O674" t="n">
        <v>0</v>
      </c>
      <c r="P674" t="n">
        <v>0</v>
      </c>
      <c r="Q674" t="n">
        <v>0</v>
      </c>
      <c r="R674" s="2" t="inlineStr"/>
    </row>
    <row r="675" ht="15" customHeight="1">
      <c r="A675" t="inlineStr">
        <is>
          <t>A 18716-2023</t>
        </is>
      </c>
      <c r="B675" s="1" t="n">
        <v>45043</v>
      </c>
      <c r="C675" s="1" t="n">
        <v>45513</v>
      </c>
      <c r="D675" t="inlineStr">
        <is>
          <t>ÖREBRO LÄN</t>
        </is>
      </c>
      <c r="E675" t="inlineStr">
        <is>
          <t>ÖREBRO</t>
        </is>
      </c>
      <c r="G675" t="n">
        <v>0.7</v>
      </c>
      <c r="H675" t="n">
        <v>0</v>
      </c>
      <c r="I675" t="n">
        <v>0</v>
      </c>
      <c r="J675" t="n">
        <v>0</v>
      </c>
      <c r="K675" t="n">
        <v>0</v>
      </c>
      <c r="L675" t="n">
        <v>0</v>
      </c>
      <c r="M675" t="n">
        <v>0</v>
      </c>
      <c r="N675" t="n">
        <v>0</v>
      </c>
      <c r="O675" t="n">
        <v>0</v>
      </c>
      <c r="P675" t="n">
        <v>0</v>
      </c>
      <c r="Q675" t="n">
        <v>0</v>
      </c>
      <c r="R675" s="2" t="inlineStr"/>
    </row>
    <row r="676" ht="15" customHeight="1">
      <c r="A676" t="inlineStr">
        <is>
          <t>A 18747-2023</t>
        </is>
      </c>
      <c r="B676" s="1" t="n">
        <v>45043</v>
      </c>
      <c r="C676" s="1" t="n">
        <v>45513</v>
      </c>
      <c r="D676" t="inlineStr">
        <is>
          <t>ÖREBRO LÄN</t>
        </is>
      </c>
      <c r="E676" t="inlineStr">
        <is>
          <t>ÖREBRO</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19553-2023</t>
        </is>
      </c>
      <c r="B677" s="1" t="n">
        <v>45050</v>
      </c>
      <c r="C677" s="1" t="n">
        <v>45513</v>
      </c>
      <c r="D677" t="inlineStr">
        <is>
          <t>ÖREBRO LÄN</t>
        </is>
      </c>
      <c r="E677" t="inlineStr">
        <is>
          <t>ÖREBRO</t>
        </is>
      </c>
      <c r="G677" t="n">
        <v>2.1</v>
      </c>
      <c r="H677" t="n">
        <v>0</v>
      </c>
      <c r="I677" t="n">
        <v>0</v>
      </c>
      <c r="J677" t="n">
        <v>0</v>
      </c>
      <c r="K677" t="n">
        <v>0</v>
      </c>
      <c r="L677" t="n">
        <v>0</v>
      </c>
      <c r="M677" t="n">
        <v>0</v>
      </c>
      <c r="N677" t="n">
        <v>0</v>
      </c>
      <c r="O677" t="n">
        <v>0</v>
      </c>
      <c r="P677" t="n">
        <v>0</v>
      </c>
      <c r="Q677" t="n">
        <v>0</v>
      </c>
      <c r="R677" s="2" t="inlineStr"/>
    </row>
    <row r="678" ht="15" customHeight="1">
      <c r="A678" t="inlineStr">
        <is>
          <t>A 20032-2023</t>
        </is>
      </c>
      <c r="B678" s="1" t="n">
        <v>45054</v>
      </c>
      <c r="C678" s="1" t="n">
        <v>45513</v>
      </c>
      <c r="D678" t="inlineStr">
        <is>
          <t>ÖREBRO LÄN</t>
        </is>
      </c>
      <c r="E678" t="inlineStr">
        <is>
          <t>ÖREBRO</t>
        </is>
      </c>
      <c r="G678" t="n">
        <v>2.6</v>
      </c>
      <c r="H678" t="n">
        <v>0</v>
      </c>
      <c r="I678" t="n">
        <v>0</v>
      </c>
      <c r="J678" t="n">
        <v>0</v>
      </c>
      <c r="K678" t="n">
        <v>0</v>
      </c>
      <c r="L678" t="n">
        <v>0</v>
      </c>
      <c r="M678" t="n">
        <v>0</v>
      </c>
      <c r="N678" t="n">
        <v>0</v>
      </c>
      <c r="O678" t="n">
        <v>0</v>
      </c>
      <c r="P678" t="n">
        <v>0</v>
      </c>
      <c r="Q678" t="n">
        <v>0</v>
      </c>
      <c r="R678" s="2" t="inlineStr"/>
    </row>
    <row r="679" ht="15" customHeight="1">
      <c r="A679" t="inlineStr">
        <is>
          <t>A 20245-2023</t>
        </is>
      </c>
      <c r="B679" s="1" t="n">
        <v>45055</v>
      </c>
      <c r="C679" s="1" t="n">
        <v>45513</v>
      </c>
      <c r="D679" t="inlineStr">
        <is>
          <t>ÖREBRO LÄN</t>
        </is>
      </c>
      <c r="E679" t="inlineStr">
        <is>
          <t>ÖREBRO</t>
        </is>
      </c>
      <c r="F679" t="inlineStr">
        <is>
          <t>Övriga Aktiebolag</t>
        </is>
      </c>
      <c r="G679" t="n">
        <v>11.7</v>
      </c>
      <c r="H679" t="n">
        <v>0</v>
      </c>
      <c r="I679" t="n">
        <v>0</v>
      </c>
      <c r="J679" t="n">
        <v>0</v>
      </c>
      <c r="K679" t="n">
        <v>0</v>
      </c>
      <c r="L679" t="n">
        <v>0</v>
      </c>
      <c r="M679" t="n">
        <v>0</v>
      </c>
      <c r="N679" t="n">
        <v>0</v>
      </c>
      <c r="O679" t="n">
        <v>0</v>
      </c>
      <c r="P679" t="n">
        <v>0</v>
      </c>
      <c r="Q679" t="n">
        <v>0</v>
      </c>
      <c r="R679" s="2" t="inlineStr"/>
    </row>
    <row r="680" ht="15" customHeight="1">
      <c r="A680" t="inlineStr">
        <is>
          <t>A 20249-2023</t>
        </is>
      </c>
      <c r="B680" s="1" t="n">
        <v>45055</v>
      </c>
      <c r="C680" s="1" t="n">
        <v>45513</v>
      </c>
      <c r="D680" t="inlineStr">
        <is>
          <t>ÖREBRO LÄN</t>
        </is>
      </c>
      <c r="E680" t="inlineStr">
        <is>
          <t>ÖREBRO</t>
        </is>
      </c>
      <c r="F680" t="inlineStr">
        <is>
          <t>Övriga Aktiebolag</t>
        </is>
      </c>
      <c r="G680" t="n">
        <v>6.7</v>
      </c>
      <c r="H680" t="n">
        <v>0</v>
      </c>
      <c r="I680" t="n">
        <v>0</v>
      </c>
      <c r="J680" t="n">
        <v>0</v>
      </c>
      <c r="K680" t="n">
        <v>0</v>
      </c>
      <c r="L680" t="n">
        <v>0</v>
      </c>
      <c r="M680" t="n">
        <v>0</v>
      </c>
      <c r="N680" t="n">
        <v>0</v>
      </c>
      <c r="O680" t="n">
        <v>0</v>
      </c>
      <c r="P680" t="n">
        <v>0</v>
      </c>
      <c r="Q680" t="n">
        <v>0</v>
      </c>
      <c r="R680" s="2" t="inlineStr"/>
    </row>
    <row r="681" ht="15" customHeight="1">
      <c r="A681" t="inlineStr">
        <is>
          <t>A 20289-2023</t>
        </is>
      </c>
      <c r="B681" s="1" t="n">
        <v>45056</v>
      </c>
      <c r="C681" s="1" t="n">
        <v>45513</v>
      </c>
      <c r="D681" t="inlineStr">
        <is>
          <t>ÖREBRO LÄN</t>
        </is>
      </c>
      <c r="E681" t="inlineStr">
        <is>
          <t>ÖREBRO</t>
        </is>
      </c>
      <c r="F681" t="inlineStr">
        <is>
          <t>Allmännings- och besparingsskogar</t>
        </is>
      </c>
      <c r="G681" t="n">
        <v>3</v>
      </c>
      <c r="H681" t="n">
        <v>0</v>
      </c>
      <c r="I681" t="n">
        <v>0</v>
      </c>
      <c r="J681" t="n">
        <v>0</v>
      </c>
      <c r="K681" t="n">
        <v>0</v>
      </c>
      <c r="L681" t="n">
        <v>0</v>
      </c>
      <c r="M681" t="n">
        <v>0</v>
      </c>
      <c r="N681" t="n">
        <v>0</v>
      </c>
      <c r="O681" t="n">
        <v>0</v>
      </c>
      <c r="P681" t="n">
        <v>0</v>
      </c>
      <c r="Q681" t="n">
        <v>0</v>
      </c>
      <c r="R681" s="2" t="inlineStr"/>
    </row>
    <row r="682" ht="15" customHeight="1">
      <c r="A682" t="inlineStr">
        <is>
          <t>A 21602-2023</t>
        </is>
      </c>
      <c r="B682" s="1" t="n">
        <v>45063</v>
      </c>
      <c r="C682" s="1" t="n">
        <v>45513</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22079-2023</t>
        </is>
      </c>
      <c r="B683" s="1" t="n">
        <v>45069</v>
      </c>
      <c r="C683" s="1" t="n">
        <v>45513</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22047-2023</t>
        </is>
      </c>
      <c r="B684" s="1" t="n">
        <v>45069</v>
      </c>
      <c r="C684" s="1" t="n">
        <v>45513</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22298-2023</t>
        </is>
      </c>
      <c r="B685" s="1" t="n">
        <v>45070</v>
      </c>
      <c r="C685" s="1" t="n">
        <v>45513</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22451-2023</t>
        </is>
      </c>
      <c r="B686" s="1" t="n">
        <v>45070</v>
      </c>
      <c r="C686" s="1" t="n">
        <v>45513</v>
      </c>
      <c r="D686" t="inlineStr">
        <is>
          <t>ÖREBRO LÄN</t>
        </is>
      </c>
      <c r="E686" t="inlineStr">
        <is>
          <t>ÖREBRO</t>
        </is>
      </c>
      <c r="G686" t="n">
        <v>8</v>
      </c>
      <c r="H686" t="n">
        <v>0</v>
      </c>
      <c r="I686" t="n">
        <v>0</v>
      </c>
      <c r="J686" t="n">
        <v>0</v>
      </c>
      <c r="K686" t="n">
        <v>0</v>
      </c>
      <c r="L686" t="n">
        <v>0</v>
      </c>
      <c r="M686" t="n">
        <v>0</v>
      </c>
      <c r="N686" t="n">
        <v>0</v>
      </c>
      <c r="O686" t="n">
        <v>0</v>
      </c>
      <c r="P686" t="n">
        <v>0</v>
      </c>
      <c r="Q686" t="n">
        <v>0</v>
      </c>
      <c r="R686" s="2" t="inlineStr"/>
    </row>
    <row r="687" ht="15" customHeight="1">
      <c r="A687" t="inlineStr">
        <is>
          <t>A 22639-2023</t>
        </is>
      </c>
      <c r="B687" s="1" t="n">
        <v>45071</v>
      </c>
      <c r="C687" s="1" t="n">
        <v>45513</v>
      </c>
      <c r="D687" t="inlineStr">
        <is>
          <t>ÖREBRO LÄN</t>
        </is>
      </c>
      <c r="E687" t="inlineStr">
        <is>
          <t>ÖREBRO</t>
        </is>
      </c>
      <c r="G687" t="n">
        <v>3.7</v>
      </c>
      <c r="H687" t="n">
        <v>0</v>
      </c>
      <c r="I687" t="n">
        <v>0</v>
      </c>
      <c r="J687" t="n">
        <v>0</v>
      </c>
      <c r="K687" t="n">
        <v>0</v>
      </c>
      <c r="L687" t="n">
        <v>0</v>
      </c>
      <c r="M687" t="n">
        <v>0</v>
      </c>
      <c r="N687" t="n">
        <v>0</v>
      </c>
      <c r="O687" t="n">
        <v>0</v>
      </c>
      <c r="P687" t="n">
        <v>0</v>
      </c>
      <c r="Q687" t="n">
        <v>0</v>
      </c>
      <c r="R687" s="2" t="inlineStr"/>
    </row>
    <row r="688" ht="15" customHeight="1">
      <c r="A688" t="inlineStr">
        <is>
          <t>A 23179-2023</t>
        </is>
      </c>
      <c r="B688" s="1" t="n">
        <v>45075</v>
      </c>
      <c r="C688" s="1" t="n">
        <v>45513</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23573-2023</t>
        </is>
      </c>
      <c r="B689" s="1" t="n">
        <v>45077</v>
      </c>
      <c r="C689" s="1" t="n">
        <v>45513</v>
      </c>
      <c r="D689" t="inlineStr">
        <is>
          <t>ÖREBRO LÄN</t>
        </is>
      </c>
      <c r="E689" t="inlineStr">
        <is>
          <t>ÖREBRO</t>
        </is>
      </c>
      <c r="G689" t="n">
        <v>2.9</v>
      </c>
      <c r="H689" t="n">
        <v>0</v>
      </c>
      <c r="I689" t="n">
        <v>0</v>
      </c>
      <c r="J689" t="n">
        <v>0</v>
      </c>
      <c r="K689" t="n">
        <v>0</v>
      </c>
      <c r="L689" t="n">
        <v>0</v>
      </c>
      <c r="M689" t="n">
        <v>0</v>
      </c>
      <c r="N689" t="n">
        <v>0</v>
      </c>
      <c r="O689" t="n">
        <v>0</v>
      </c>
      <c r="P689" t="n">
        <v>0</v>
      </c>
      <c r="Q689" t="n">
        <v>0</v>
      </c>
      <c r="R689" s="2" t="inlineStr"/>
    </row>
    <row r="690" ht="15" customHeight="1">
      <c r="A690" t="inlineStr">
        <is>
          <t>A 23594-2023</t>
        </is>
      </c>
      <c r="B690" s="1" t="n">
        <v>45077</v>
      </c>
      <c r="C690" s="1" t="n">
        <v>45513</v>
      </c>
      <c r="D690" t="inlineStr">
        <is>
          <t>ÖREBRO LÄN</t>
        </is>
      </c>
      <c r="E690" t="inlineStr">
        <is>
          <t>ÖREBRO</t>
        </is>
      </c>
      <c r="G690" t="n">
        <v>9.9</v>
      </c>
      <c r="H690" t="n">
        <v>0</v>
      </c>
      <c r="I690" t="n">
        <v>0</v>
      </c>
      <c r="J690" t="n">
        <v>0</v>
      </c>
      <c r="K690" t="n">
        <v>0</v>
      </c>
      <c r="L690" t="n">
        <v>0</v>
      </c>
      <c r="M690" t="n">
        <v>0</v>
      </c>
      <c r="N690" t="n">
        <v>0</v>
      </c>
      <c r="O690" t="n">
        <v>0</v>
      </c>
      <c r="P690" t="n">
        <v>0</v>
      </c>
      <c r="Q690" t="n">
        <v>0</v>
      </c>
      <c r="R690" s="2" t="inlineStr"/>
    </row>
    <row r="691" ht="15" customHeight="1">
      <c r="A691" t="inlineStr">
        <is>
          <t>A 23732-2023</t>
        </is>
      </c>
      <c r="B691" s="1" t="n">
        <v>45077</v>
      </c>
      <c r="C691" s="1" t="n">
        <v>45513</v>
      </c>
      <c r="D691" t="inlineStr">
        <is>
          <t>ÖREBRO LÄN</t>
        </is>
      </c>
      <c r="E691" t="inlineStr">
        <is>
          <t>ÖREBRO</t>
        </is>
      </c>
      <c r="F691" t="inlineStr">
        <is>
          <t>Övriga Aktiebolag</t>
        </is>
      </c>
      <c r="G691" t="n">
        <v>7.4</v>
      </c>
      <c r="H691" t="n">
        <v>0</v>
      </c>
      <c r="I691" t="n">
        <v>0</v>
      </c>
      <c r="J691" t="n">
        <v>0</v>
      </c>
      <c r="K691" t="n">
        <v>0</v>
      </c>
      <c r="L691" t="n">
        <v>0</v>
      </c>
      <c r="M691" t="n">
        <v>0</v>
      </c>
      <c r="N691" t="n">
        <v>0</v>
      </c>
      <c r="O691" t="n">
        <v>0</v>
      </c>
      <c r="P691" t="n">
        <v>0</v>
      </c>
      <c r="Q691" t="n">
        <v>0</v>
      </c>
      <c r="R691" s="2" t="inlineStr"/>
    </row>
    <row r="692" ht="15" customHeight="1">
      <c r="A692" t="inlineStr">
        <is>
          <t>A 23738-2023</t>
        </is>
      </c>
      <c r="B692" s="1" t="n">
        <v>45077</v>
      </c>
      <c r="C692" s="1" t="n">
        <v>45513</v>
      </c>
      <c r="D692" t="inlineStr">
        <is>
          <t>ÖREBRO LÄN</t>
        </is>
      </c>
      <c r="E692" t="inlineStr">
        <is>
          <t>ÖREBRO</t>
        </is>
      </c>
      <c r="F692" t="inlineStr">
        <is>
          <t>Övriga Aktiebolag</t>
        </is>
      </c>
      <c r="G692" t="n">
        <v>4.7</v>
      </c>
      <c r="H692" t="n">
        <v>0</v>
      </c>
      <c r="I692" t="n">
        <v>0</v>
      </c>
      <c r="J692" t="n">
        <v>0</v>
      </c>
      <c r="K692" t="n">
        <v>0</v>
      </c>
      <c r="L692" t="n">
        <v>0</v>
      </c>
      <c r="M692" t="n">
        <v>0</v>
      </c>
      <c r="N692" t="n">
        <v>0</v>
      </c>
      <c r="O692" t="n">
        <v>0</v>
      </c>
      <c r="P692" t="n">
        <v>0</v>
      </c>
      <c r="Q692" t="n">
        <v>0</v>
      </c>
      <c r="R692" s="2" t="inlineStr"/>
    </row>
    <row r="693" ht="15" customHeight="1">
      <c r="A693" t="inlineStr">
        <is>
          <t>A 23863-2023</t>
        </is>
      </c>
      <c r="B693" s="1" t="n">
        <v>45078</v>
      </c>
      <c r="C693" s="1" t="n">
        <v>45513</v>
      </c>
      <c r="D693" t="inlineStr">
        <is>
          <t>ÖREBRO LÄN</t>
        </is>
      </c>
      <c r="E693" t="inlineStr">
        <is>
          <t>ÖREBRO</t>
        </is>
      </c>
      <c r="F693" t="inlineStr">
        <is>
          <t>Övriga Aktiebolag</t>
        </is>
      </c>
      <c r="G693" t="n">
        <v>5.9</v>
      </c>
      <c r="H693" t="n">
        <v>0</v>
      </c>
      <c r="I693" t="n">
        <v>0</v>
      </c>
      <c r="J693" t="n">
        <v>0</v>
      </c>
      <c r="K693" t="n">
        <v>0</v>
      </c>
      <c r="L693" t="n">
        <v>0</v>
      </c>
      <c r="M693" t="n">
        <v>0</v>
      </c>
      <c r="N693" t="n">
        <v>0</v>
      </c>
      <c r="O693" t="n">
        <v>0</v>
      </c>
      <c r="P693" t="n">
        <v>0</v>
      </c>
      <c r="Q693" t="n">
        <v>0</v>
      </c>
      <c r="R693" s="2" t="inlineStr"/>
    </row>
    <row r="694" ht="15" customHeight="1">
      <c r="A694" t="inlineStr">
        <is>
          <t>A 24143-2023</t>
        </is>
      </c>
      <c r="B694" s="1" t="n">
        <v>45079</v>
      </c>
      <c r="C694" s="1" t="n">
        <v>45513</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25247-2023</t>
        </is>
      </c>
      <c r="B695" s="1" t="n">
        <v>45086</v>
      </c>
      <c r="C695" s="1" t="n">
        <v>45513</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25487-2023</t>
        </is>
      </c>
      <c r="B696" s="1" t="n">
        <v>45089</v>
      </c>
      <c r="C696" s="1" t="n">
        <v>45513</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26765-2023</t>
        </is>
      </c>
      <c r="B697" s="1" t="n">
        <v>45093</v>
      </c>
      <c r="C697" s="1" t="n">
        <v>45513</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27112-2023</t>
        </is>
      </c>
      <c r="B698" s="1" t="n">
        <v>45096</v>
      </c>
      <c r="C698" s="1" t="n">
        <v>45513</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27956-2023</t>
        </is>
      </c>
      <c r="B699" s="1" t="n">
        <v>45098</v>
      </c>
      <c r="C699" s="1" t="n">
        <v>45513</v>
      </c>
      <c r="D699" t="inlineStr">
        <is>
          <t>ÖREBRO LÄN</t>
        </is>
      </c>
      <c r="E699" t="inlineStr">
        <is>
          <t>ÖREBRO</t>
        </is>
      </c>
      <c r="G699" t="n">
        <v>0.8</v>
      </c>
      <c r="H699" t="n">
        <v>0</v>
      </c>
      <c r="I699" t="n">
        <v>0</v>
      </c>
      <c r="J699" t="n">
        <v>0</v>
      </c>
      <c r="K699" t="n">
        <v>0</v>
      </c>
      <c r="L699" t="n">
        <v>0</v>
      </c>
      <c r="M699" t="n">
        <v>0</v>
      </c>
      <c r="N699" t="n">
        <v>0</v>
      </c>
      <c r="O699" t="n">
        <v>0</v>
      </c>
      <c r="P699" t="n">
        <v>0</v>
      </c>
      <c r="Q699" t="n">
        <v>0</v>
      </c>
      <c r="R699" s="2" t="inlineStr"/>
    </row>
    <row r="700" ht="15" customHeight="1">
      <c r="A700" t="inlineStr">
        <is>
          <t>A 28632-2023</t>
        </is>
      </c>
      <c r="B700" s="1" t="n">
        <v>45103</v>
      </c>
      <c r="C700" s="1" t="n">
        <v>45513</v>
      </c>
      <c r="D700" t="inlineStr">
        <is>
          <t>ÖREBRO LÄN</t>
        </is>
      </c>
      <c r="E700" t="inlineStr">
        <is>
          <t>ÖREBRO</t>
        </is>
      </c>
      <c r="G700" t="n">
        <v>4.8</v>
      </c>
      <c r="H700" t="n">
        <v>0</v>
      </c>
      <c r="I700" t="n">
        <v>0</v>
      </c>
      <c r="J700" t="n">
        <v>0</v>
      </c>
      <c r="K700" t="n">
        <v>0</v>
      </c>
      <c r="L700" t="n">
        <v>0</v>
      </c>
      <c r="M700" t="n">
        <v>0</v>
      </c>
      <c r="N700" t="n">
        <v>0</v>
      </c>
      <c r="O700" t="n">
        <v>0</v>
      </c>
      <c r="P700" t="n">
        <v>0</v>
      </c>
      <c r="Q700" t="n">
        <v>0</v>
      </c>
      <c r="R700" s="2" t="inlineStr"/>
    </row>
    <row r="701" ht="15" customHeight="1">
      <c r="A701" t="inlineStr">
        <is>
          <t>A 29012-2023</t>
        </is>
      </c>
      <c r="B701" s="1" t="n">
        <v>45104</v>
      </c>
      <c r="C701" s="1" t="n">
        <v>45513</v>
      </c>
      <c r="D701" t="inlineStr">
        <is>
          <t>ÖREBRO LÄN</t>
        </is>
      </c>
      <c r="E701" t="inlineStr">
        <is>
          <t>ÖREBRO</t>
        </is>
      </c>
      <c r="G701" t="n">
        <v>2.8</v>
      </c>
      <c r="H701" t="n">
        <v>0</v>
      </c>
      <c r="I701" t="n">
        <v>0</v>
      </c>
      <c r="J701" t="n">
        <v>0</v>
      </c>
      <c r="K701" t="n">
        <v>0</v>
      </c>
      <c r="L701" t="n">
        <v>0</v>
      </c>
      <c r="M701" t="n">
        <v>0</v>
      </c>
      <c r="N701" t="n">
        <v>0</v>
      </c>
      <c r="O701" t="n">
        <v>0</v>
      </c>
      <c r="P701" t="n">
        <v>0</v>
      </c>
      <c r="Q701" t="n">
        <v>0</v>
      </c>
      <c r="R701" s="2" t="inlineStr"/>
    </row>
    <row r="702" ht="15" customHeight="1">
      <c r="A702" t="inlineStr">
        <is>
          <t>A 30015-2023</t>
        </is>
      </c>
      <c r="B702" s="1" t="n">
        <v>45109</v>
      </c>
      <c r="C702" s="1" t="n">
        <v>45513</v>
      </c>
      <c r="D702" t="inlineStr">
        <is>
          <t>ÖREBRO LÄN</t>
        </is>
      </c>
      <c r="E702" t="inlineStr">
        <is>
          <t>ÖREBRO</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30362-2023</t>
        </is>
      </c>
      <c r="B703" s="1" t="n">
        <v>45111</v>
      </c>
      <c r="C703" s="1" t="n">
        <v>45513</v>
      </c>
      <c r="D703" t="inlineStr">
        <is>
          <t>ÖREBRO LÄN</t>
        </is>
      </c>
      <c r="E703" t="inlineStr">
        <is>
          <t>ÖREBRO</t>
        </is>
      </c>
      <c r="F703" t="inlineStr">
        <is>
          <t>Övriga Aktiebolag</t>
        </is>
      </c>
      <c r="G703" t="n">
        <v>6.8</v>
      </c>
      <c r="H703" t="n">
        <v>0</v>
      </c>
      <c r="I703" t="n">
        <v>0</v>
      </c>
      <c r="J703" t="n">
        <v>0</v>
      </c>
      <c r="K703" t="n">
        <v>0</v>
      </c>
      <c r="L703" t="n">
        <v>0</v>
      </c>
      <c r="M703" t="n">
        <v>0</v>
      </c>
      <c r="N703" t="n">
        <v>0</v>
      </c>
      <c r="O703" t="n">
        <v>0</v>
      </c>
      <c r="P703" t="n">
        <v>0</v>
      </c>
      <c r="Q703" t="n">
        <v>0</v>
      </c>
      <c r="R703" s="2" t="inlineStr"/>
    </row>
    <row r="704" ht="15" customHeight="1">
      <c r="A704" t="inlineStr">
        <is>
          <t>A 30403-2023</t>
        </is>
      </c>
      <c r="B704" s="1" t="n">
        <v>45111</v>
      </c>
      <c r="C704" s="1" t="n">
        <v>45513</v>
      </c>
      <c r="D704" t="inlineStr">
        <is>
          <t>ÖREBRO LÄN</t>
        </is>
      </c>
      <c r="E704" t="inlineStr">
        <is>
          <t>ÖREBRO</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30374-2023</t>
        </is>
      </c>
      <c r="B705" s="1" t="n">
        <v>45111</v>
      </c>
      <c r="C705" s="1" t="n">
        <v>45513</v>
      </c>
      <c r="D705" t="inlineStr">
        <is>
          <t>ÖREBRO LÄN</t>
        </is>
      </c>
      <c r="E705" t="inlineStr">
        <is>
          <t>ÖREBRO</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30708-2023</t>
        </is>
      </c>
      <c r="B706" s="1" t="n">
        <v>45112</v>
      </c>
      <c r="C706" s="1" t="n">
        <v>45513</v>
      </c>
      <c r="D706" t="inlineStr">
        <is>
          <t>ÖREBRO LÄN</t>
        </is>
      </c>
      <c r="E706" t="inlineStr">
        <is>
          <t>ÖREBRO</t>
        </is>
      </c>
      <c r="G706" t="n">
        <v>3</v>
      </c>
      <c r="H706" t="n">
        <v>0</v>
      </c>
      <c r="I706" t="n">
        <v>0</v>
      </c>
      <c r="J706" t="n">
        <v>0</v>
      </c>
      <c r="K706" t="n">
        <v>0</v>
      </c>
      <c r="L706" t="n">
        <v>0</v>
      </c>
      <c r="M706" t="n">
        <v>0</v>
      </c>
      <c r="N706" t="n">
        <v>0</v>
      </c>
      <c r="O706" t="n">
        <v>0</v>
      </c>
      <c r="P706" t="n">
        <v>0</v>
      </c>
      <c r="Q706" t="n">
        <v>0</v>
      </c>
      <c r="R706" s="2" t="inlineStr"/>
    </row>
    <row r="707" ht="15" customHeight="1">
      <c r="A707" t="inlineStr">
        <is>
          <t>A 30725-2023</t>
        </is>
      </c>
      <c r="B707" s="1" t="n">
        <v>45112</v>
      </c>
      <c r="C707" s="1" t="n">
        <v>45513</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30665-2023</t>
        </is>
      </c>
      <c r="B708" s="1" t="n">
        <v>45112</v>
      </c>
      <c r="C708" s="1" t="n">
        <v>45513</v>
      </c>
      <c r="D708" t="inlineStr">
        <is>
          <t>ÖREBRO LÄN</t>
        </is>
      </c>
      <c r="E708" t="inlineStr">
        <is>
          <t>ÖREBRO</t>
        </is>
      </c>
      <c r="G708" t="n">
        <v>5</v>
      </c>
      <c r="H708" t="n">
        <v>0</v>
      </c>
      <c r="I708" t="n">
        <v>0</v>
      </c>
      <c r="J708" t="n">
        <v>0</v>
      </c>
      <c r="K708" t="n">
        <v>0</v>
      </c>
      <c r="L708" t="n">
        <v>0</v>
      </c>
      <c r="M708" t="n">
        <v>0</v>
      </c>
      <c r="N708" t="n">
        <v>0</v>
      </c>
      <c r="O708" t="n">
        <v>0</v>
      </c>
      <c r="P708" t="n">
        <v>0</v>
      </c>
      <c r="Q708" t="n">
        <v>0</v>
      </c>
      <c r="R708" s="2" t="inlineStr"/>
    </row>
    <row r="709" ht="15" customHeight="1">
      <c r="A709" t="inlineStr">
        <is>
          <t>A 31247-2023</t>
        </is>
      </c>
      <c r="B709" s="1" t="n">
        <v>45114</v>
      </c>
      <c r="C709" s="1" t="n">
        <v>45513</v>
      </c>
      <c r="D709" t="inlineStr">
        <is>
          <t>ÖREBRO LÄN</t>
        </is>
      </c>
      <c r="E709" t="inlineStr">
        <is>
          <t>ÖREBRO</t>
        </is>
      </c>
      <c r="F709" t="inlineStr">
        <is>
          <t>Allmännings- och besparingsskogar</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31267-2023</t>
        </is>
      </c>
      <c r="B710" s="1" t="n">
        <v>45114</v>
      </c>
      <c r="C710" s="1" t="n">
        <v>45513</v>
      </c>
      <c r="D710" t="inlineStr">
        <is>
          <t>ÖREBRO LÄN</t>
        </is>
      </c>
      <c r="E710" t="inlineStr">
        <is>
          <t>ÖREBRO</t>
        </is>
      </c>
      <c r="F710" t="inlineStr">
        <is>
          <t>Allmännings- och besparingsskogar</t>
        </is>
      </c>
      <c r="G710" t="n">
        <v>2.8</v>
      </c>
      <c r="H710" t="n">
        <v>0</v>
      </c>
      <c r="I710" t="n">
        <v>0</v>
      </c>
      <c r="J710" t="n">
        <v>0</v>
      </c>
      <c r="K710" t="n">
        <v>0</v>
      </c>
      <c r="L710" t="n">
        <v>0</v>
      </c>
      <c r="M710" t="n">
        <v>0</v>
      </c>
      <c r="N710" t="n">
        <v>0</v>
      </c>
      <c r="O710" t="n">
        <v>0</v>
      </c>
      <c r="P710" t="n">
        <v>0</v>
      </c>
      <c r="Q710" t="n">
        <v>0</v>
      </c>
      <c r="R710" s="2" t="inlineStr"/>
    </row>
    <row r="711" ht="15" customHeight="1">
      <c r="A711" t="inlineStr">
        <is>
          <t>A 31258-2023</t>
        </is>
      </c>
      <c r="B711" s="1" t="n">
        <v>45114</v>
      </c>
      <c r="C711" s="1" t="n">
        <v>45513</v>
      </c>
      <c r="D711" t="inlineStr">
        <is>
          <t>ÖREBRO LÄN</t>
        </is>
      </c>
      <c r="E711" t="inlineStr">
        <is>
          <t>ÖREBRO</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31270-2023</t>
        </is>
      </c>
      <c r="B712" s="1" t="n">
        <v>45114</v>
      </c>
      <c r="C712" s="1" t="n">
        <v>45513</v>
      </c>
      <c r="D712" t="inlineStr">
        <is>
          <t>ÖREBRO LÄN</t>
        </is>
      </c>
      <c r="E712" t="inlineStr">
        <is>
          <t>ÖREBRO</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31240-2023</t>
        </is>
      </c>
      <c r="B713" s="1" t="n">
        <v>45114</v>
      </c>
      <c r="C713" s="1" t="n">
        <v>45513</v>
      </c>
      <c r="D713" t="inlineStr">
        <is>
          <t>ÖREBRO LÄN</t>
        </is>
      </c>
      <c r="E713" t="inlineStr">
        <is>
          <t>ÖREBRO</t>
        </is>
      </c>
      <c r="F713" t="inlineStr">
        <is>
          <t>Allmännings- och besparingsskogar</t>
        </is>
      </c>
      <c r="G713" t="n">
        <v>6.2</v>
      </c>
      <c r="H713" t="n">
        <v>0</v>
      </c>
      <c r="I713" t="n">
        <v>0</v>
      </c>
      <c r="J713" t="n">
        <v>0</v>
      </c>
      <c r="K713" t="n">
        <v>0</v>
      </c>
      <c r="L713" t="n">
        <v>0</v>
      </c>
      <c r="M713" t="n">
        <v>0</v>
      </c>
      <c r="N713" t="n">
        <v>0</v>
      </c>
      <c r="O713" t="n">
        <v>0</v>
      </c>
      <c r="P713" t="n">
        <v>0</v>
      </c>
      <c r="Q713" t="n">
        <v>0</v>
      </c>
      <c r="R713" s="2" t="inlineStr"/>
    </row>
    <row r="714" ht="15" customHeight="1">
      <c r="A714" t="inlineStr">
        <is>
          <t>A 31447-2023</t>
        </is>
      </c>
      <c r="B714" s="1" t="n">
        <v>45114</v>
      </c>
      <c r="C714" s="1" t="n">
        <v>45513</v>
      </c>
      <c r="D714" t="inlineStr">
        <is>
          <t>ÖREBRO LÄN</t>
        </is>
      </c>
      <c r="E714" t="inlineStr">
        <is>
          <t>ÖREBRO</t>
        </is>
      </c>
      <c r="F714" t="inlineStr">
        <is>
          <t>Övriga Aktiebolag</t>
        </is>
      </c>
      <c r="G714" t="n">
        <v>6.7</v>
      </c>
      <c r="H714" t="n">
        <v>0</v>
      </c>
      <c r="I714" t="n">
        <v>0</v>
      </c>
      <c r="J714" t="n">
        <v>0</v>
      </c>
      <c r="K714" t="n">
        <v>0</v>
      </c>
      <c r="L714" t="n">
        <v>0</v>
      </c>
      <c r="M714" t="n">
        <v>0</v>
      </c>
      <c r="N714" t="n">
        <v>0</v>
      </c>
      <c r="O714" t="n">
        <v>0</v>
      </c>
      <c r="P714" t="n">
        <v>0</v>
      </c>
      <c r="Q714" t="n">
        <v>0</v>
      </c>
      <c r="R714" s="2" t="inlineStr"/>
    </row>
    <row r="715" ht="15" customHeight="1">
      <c r="A715" t="inlineStr">
        <is>
          <t>A 31905-2023</t>
        </is>
      </c>
      <c r="B715" s="1" t="n">
        <v>45118</v>
      </c>
      <c r="C715" s="1" t="n">
        <v>45513</v>
      </c>
      <c r="D715" t="inlineStr">
        <is>
          <t>ÖREBRO LÄN</t>
        </is>
      </c>
      <c r="E715" t="inlineStr">
        <is>
          <t>ÖREBRO</t>
        </is>
      </c>
      <c r="G715" t="n">
        <v>2.1</v>
      </c>
      <c r="H715" t="n">
        <v>0</v>
      </c>
      <c r="I715" t="n">
        <v>0</v>
      </c>
      <c r="J715" t="n">
        <v>0</v>
      </c>
      <c r="K715" t="n">
        <v>0</v>
      </c>
      <c r="L715" t="n">
        <v>0</v>
      </c>
      <c r="M715" t="n">
        <v>0</v>
      </c>
      <c r="N715" t="n">
        <v>0</v>
      </c>
      <c r="O715" t="n">
        <v>0</v>
      </c>
      <c r="P715" t="n">
        <v>0</v>
      </c>
      <c r="Q715" t="n">
        <v>0</v>
      </c>
      <c r="R715" s="2" t="inlineStr"/>
    </row>
    <row r="716" ht="15" customHeight="1">
      <c r="A716" t="inlineStr">
        <is>
          <t>A 31906-2023</t>
        </is>
      </c>
      <c r="B716" s="1" t="n">
        <v>45118</v>
      </c>
      <c r="C716" s="1" t="n">
        <v>45513</v>
      </c>
      <c r="D716" t="inlineStr">
        <is>
          <t>ÖREBRO LÄN</t>
        </is>
      </c>
      <c r="E716" t="inlineStr">
        <is>
          <t>ÖREBRO</t>
        </is>
      </c>
      <c r="G716" t="n">
        <v>9</v>
      </c>
      <c r="H716" t="n">
        <v>0</v>
      </c>
      <c r="I716" t="n">
        <v>0</v>
      </c>
      <c r="J716" t="n">
        <v>0</v>
      </c>
      <c r="K716" t="n">
        <v>0</v>
      </c>
      <c r="L716" t="n">
        <v>0</v>
      </c>
      <c r="M716" t="n">
        <v>0</v>
      </c>
      <c r="N716" t="n">
        <v>0</v>
      </c>
      <c r="O716" t="n">
        <v>0</v>
      </c>
      <c r="P716" t="n">
        <v>0</v>
      </c>
      <c r="Q716" t="n">
        <v>0</v>
      </c>
      <c r="R716" s="2" t="inlineStr"/>
    </row>
    <row r="717" ht="15" customHeight="1">
      <c r="A717" t="inlineStr">
        <is>
          <t>A 31904-2023</t>
        </is>
      </c>
      <c r="B717" s="1" t="n">
        <v>45118</v>
      </c>
      <c r="C717" s="1" t="n">
        <v>45513</v>
      </c>
      <c r="D717" t="inlineStr">
        <is>
          <t>ÖREBRO LÄN</t>
        </is>
      </c>
      <c r="E717" t="inlineStr">
        <is>
          <t>ÖREBRO</t>
        </is>
      </c>
      <c r="G717" t="n">
        <v>2.3</v>
      </c>
      <c r="H717" t="n">
        <v>0</v>
      </c>
      <c r="I717" t="n">
        <v>0</v>
      </c>
      <c r="J717" t="n">
        <v>0</v>
      </c>
      <c r="K717" t="n">
        <v>0</v>
      </c>
      <c r="L717" t="n">
        <v>0</v>
      </c>
      <c r="M717" t="n">
        <v>0</v>
      </c>
      <c r="N717" t="n">
        <v>0</v>
      </c>
      <c r="O717" t="n">
        <v>0</v>
      </c>
      <c r="P717" t="n">
        <v>0</v>
      </c>
      <c r="Q717" t="n">
        <v>0</v>
      </c>
      <c r="R717" s="2" t="inlineStr"/>
    </row>
    <row r="718" ht="15" customHeight="1">
      <c r="A718" t="inlineStr">
        <is>
          <t>A 32113-2023</t>
        </is>
      </c>
      <c r="B718" s="1" t="n">
        <v>45119</v>
      </c>
      <c r="C718" s="1" t="n">
        <v>45513</v>
      </c>
      <c r="D718" t="inlineStr">
        <is>
          <t>ÖREBRO LÄN</t>
        </is>
      </c>
      <c r="E718" t="inlineStr">
        <is>
          <t>ÖREBRO</t>
        </is>
      </c>
      <c r="G718" t="n">
        <v>2.2</v>
      </c>
      <c r="H718" t="n">
        <v>0</v>
      </c>
      <c r="I718" t="n">
        <v>0</v>
      </c>
      <c r="J718" t="n">
        <v>0</v>
      </c>
      <c r="K718" t="n">
        <v>0</v>
      </c>
      <c r="L718" t="n">
        <v>0</v>
      </c>
      <c r="M718" t="n">
        <v>0</v>
      </c>
      <c r="N718" t="n">
        <v>0</v>
      </c>
      <c r="O718" t="n">
        <v>0</v>
      </c>
      <c r="P718" t="n">
        <v>0</v>
      </c>
      <c r="Q718" t="n">
        <v>0</v>
      </c>
      <c r="R718" s="2" t="inlineStr"/>
    </row>
    <row r="719" ht="15" customHeight="1">
      <c r="A719" t="inlineStr">
        <is>
          <t>A 32152-2023</t>
        </is>
      </c>
      <c r="B719" s="1" t="n">
        <v>45119</v>
      </c>
      <c r="C719" s="1" t="n">
        <v>45513</v>
      </c>
      <c r="D719" t="inlineStr">
        <is>
          <t>ÖREBRO LÄN</t>
        </is>
      </c>
      <c r="E719" t="inlineStr">
        <is>
          <t>ÖREBRO</t>
        </is>
      </c>
      <c r="F719" t="inlineStr">
        <is>
          <t>Övriga Aktiebolag</t>
        </is>
      </c>
      <c r="G719" t="n">
        <v>3.6</v>
      </c>
      <c r="H719" t="n">
        <v>0</v>
      </c>
      <c r="I719" t="n">
        <v>0</v>
      </c>
      <c r="J719" t="n">
        <v>0</v>
      </c>
      <c r="K719" t="n">
        <v>0</v>
      </c>
      <c r="L719" t="n">
        <v>0</v>
      </c>
      <c r="M719" t="n">
        <v>0</v>
      </c>
      <c r="N719" t="n">
        <v>0</v>
      </c>
      <c r="O719" t="n">
        <v>0</v>
      </c>
      <c r="P719" t="n">
        <v>0</v>
      </c>
      <c r="Q719" t="n">
        <v>0</v>
      </c>
      <c r="R719" s="2" t="inlineStr"/>
    </row>
    <row r="720" ht="15" customHeight="1">
      <c r="A720" t="inlineStr">
        <is>
          <t>A 32157-2023</t>
        </is>
      </c>
      <c r="B720" s="1" t="n">
        <v>45119</v>
      </c>
      <c r="C720" s="1" t="n">
        <v>45513</v>
      </c>
      <c r="D720" t="inlineStr">
        <is>
          <t>ÖREBRO LÄN</t>
        </is>
      </c>
      <c r="E720" t="inlineStr">
        <is>
          <t>ÖREBRO</t>
        </is>
      </c>
      <c r="F720" t="inlineStr">
        <is>
          <t>Övriga Aktiebolag</t>
        </is>
      </c>
      <c r="G720" t="n">
        <v>1.4</v>
      </c>
      <c r="H720" t="n">
        <v>0</v>
      </c>
      <c r="I720" t="n">
        <v>0</v>
      </c>
      <c r="J720" t="n">
        <v>0</v>
      </c>
      <c r="K720" t="n">
        <v>0</v>
      </c>
      <c r="L720" t="n">
        <v>0</v>
      </c>
      <c r="M720" t="n">
        <v>0</v>
      </c>
      <c r="N720" t="n">
        <v>0</v>
      </c>
      <c r="O720" t="n">
        <v>0</v>
      </c>
      <c r="P720" t="n">
        <v>0</v>
      </c>
      <c r="Q720" t="n">
        <v>0</v>
      </c>
      <c r="R720" s="2" t="inlineStr"/>
    </row>
    <row r="721" ht="15" customHeight="1">
      <c r="A721" t="inlineStr">
        <is>
          <t>A 32176-2023</t>
        </is>
      </c>
      <c r="B721" s="1" t="n">
        <v>45119</v>
      </c>
      <c r="C721" s="1" t="n">
        <v>45513</v>
      </c>
      <c r="D721" t="inlineStr">
        <is>
          <t>ÖREBRO LÄN</t>
        </is>
      </c>
      <c r="E721" t="inlineStr">
        <is>
          <t>ÖREBRO</t>
        </is>
      </c>
      <c r="G721" t="n">
        <v>0.8</v>
      </c>
      <c r="H721" t="n">
        <v>0</v>
      </c>
      <c r="I721" t="n">
        <v>0</v>
      </c>
      <c r="J721" t="n">
        <v>0</v>
      </c>
      <c r="K721" t="n">
        <v>0</v>
      </c>
      <c r="L721" t="n">
        <v>0</v>
      </c>
      <c r="M721" t="n">
        <v>0</v>
      </c>
      <c r="N721" t="n">
        <v>0</v>
      </c>
      <c r="O721" t="n">
        <v>0</v>
      </c>
      <c r="P721" t="n">
        <v>0</v>
      </c>
      <c r="Q721" t="n">
        <v>0</v>
      </c>
      <c r="R721" s="2" t="inlineStr"/>
    </row>
    <row r="722" ht="15" customHeight="1">
      <c r="A722" t="inlineStr">
        <is>
          <t>A 32076-2023</t>
        </is>
      </c>
      <c r="B722" s="1" t="n">
        <v>45119</v>
      </c>
      <c r="C722" s="1" t="n">
        <v>45513</v>
      </c>
      <c r="D722" t="inlineStr">
        <is>
          <t>ÖREBRO LÄN</t>
        </is>
      </c>
      <c r="E722" t="inlineStr">
        <is>
          <t>ÖREBRO</t>
        </is>
      </c>
      <c r="G722" t="n">
        <v>1.1</v>
      </c>
      <c r="H722" t="n">
        <v>0</v>
      </c>
      <c r="I722" t="n">
        <v>0</v>
      </c>
      <c r="J722" t="n">
        <v>0</v>
      </c>
      <c r="K722" t="n">
        <v>0</v>
      </c>
      <c r="L722" t="n">
        <v>0</v>
      </c>
      <c r="M722" t="n">
        <v>0</v>
      </c>
      <c r="N722" t="n">
        <v>0</v>
      </c>
      <c r="O722" t="n">
        <v>0</v>
      </c>
      <c r="P722" t="n">
        <v>0</v>
      </c>
      <c r="Q722" t="n">
        <v>0</v>
      </c>
      <c r="R722" s="2" t="inlineStr"/>
    </row>
    <row r="723" ht="15" customHeight="1">
      <c r="A723" t="inlineStr">
        <is>
          <t>A 32086-2023</t>
        </is>
      </c>
      <c r="B723" s="1" t="n">
        <v>45119</v>
      </c>
      <c r="C723" s="1" t="n">
        <v>45513</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32125-2023</t>
        </is>
      </c>
      <c r="B724" s="1" t="n">
        <v>45119</v>
      </c>
      <c r="C724" s="1" t="n">
        <v>45513</v>
      </c>
      <c r="D724" t="inlineStr">
        <is>
          <t>ÖREBRO LÄN</t>
        </is>
      </c>
      <c r="E724" t="inlineStr">
        <is>
          <t>ÖREBRO</t>
        </is>
      </c>
      <c r="G724" t="n">
        <v>10.6</v>
      </c>
      <c r="H724" t="n">
        <v>0</v>
      </c>
      <c r="I724" t="n">
        <v>0</v>
      </c>
      <c r="J724" t="n">
        <v>0</v>
      </c>
      <c r="K724" t="n">
        <v>0</v>
      </c>
      <c r="L724" t="n">
        <v>0</v>
      </c>
      <c r="M724" t="n">
        <v>0</v>
      </c>
      <c r="N724" t="n">
        <v>0</v>
      </c>
      <c r="O724" t="n">
        <v>0</v>
      </c>
      <c r="P724" t="n">
        <v>0</v>
      </c>
      <c r="Q724" t="n">
        <v>0</v>
      </c>
      <c r="R724" s="2" t="inlineStr"/>
    </row>
    <row r="725" ht="15" customHeight="1">
      <c r="A725" t="inlineStr">
        <is>
          <t>A 32067-2023</t>
        </is>
      </c>
      <c r="B725" s="1" t="n">
        <v>45119</v>
      </c>
      <c r="C725" s="1" t="n">
        <v>45513</v>
      </c>
      <c r="D725" t="inlineStr">
        <is>
          <t>ÖREBRO LÄN</t>
        </is>
      </c>
      <c r="E725" t="inlineStr">
        <is>
          <t>ÖREBRO</t>
        </is>
      </c>
      <c r="G725" t="n">
        <v>2.9</v>
      </c>
      <c r="H725" t="n">
        <v>0</v>
      </c>
      <c r="I725" t="n">
        <v>0</v>
      </c>
      <c r="J725" t="n">
        <v>0</v>
      </c>
      <c r="K725" t="n">
        <v>0</v>
      </c>
      <c r="L725" t="n">
        <v>0</v>
      </c>
      <c r="M725" t="n">
        <v>0</v>
      </c>
      <c r="N725" t="n">
        <v>0</v>
      </c>
      <c r="O725" t="n">
        <v>0</v>
      </c>
      <c r="P725" t="n">
        <v>0</v>
      </c>
      <c r="Q725" t="n">
        <v>0</v>
      </c>
      <c r="R725" s="2" t="inlineStr"/>
    </row>
    <row r="726" ht="15" customHeight="1">
      <c r="A726" t="inlineStr">
        <is>
          <t>A 32321-2023</t>
        </is>
      </c>
      <c r="B726" s="1" t="n">
        <v>45120</v>
      </c>
      <c r="C726" s="1" t="n">
        <v>45513</v>
      </c>
      <c r="D726" t="inlineStr">
        <is>
          <t>ÖREBRO LÄN</t>
        </is>
      </c>
      <c r="E726" t="inlineStr">
        <is>
          <t>ÖREBRO</t>
        </is>
      </c>
      <c r="G726" t="n">
        <v>3.4</v>
      </c>
      <c r="H726" t="n">
        <v>0</v>
      </c>
      <c r="I726" t="n">
        <v>0</v>
      </c>
      <c r="J726" t="n">
        <v>0</v>
      </c>
      <c r="K726" t="n">
        <v>0</v>
      </c>
      <c r="L726" t="n">
        <v>0</v>
      </c>
      <c r="M726" t="n">
        <v>0</v>
      </c>
      <c r="N726" t="n">
        <v>0</v>
      </c>
      <c r="O726" t="n">
        <v>0</v>
      </c>
      <c r="P726" t="n">
        <v>0</v>
      </c>
      <c r="Q726" t="n">
        <v>0</v>
      </c>
      <c r="R726" s="2" t="inlineStr"/>
    </row>
    <row r="727" ht="15" customHeight="1">
      <c r="A727" t="inlineStr">
        <is>
          <t>A 33005-2023</t>
        </is>
      </c>
      <c r="B727" s="1" t="n">
        <v>45125</v>
      </c>
      <c r="C727" s="1" t="n">
        <v>45513</v>
      </c>
      <c r="D727" t="inlineStr">
        <is>
          <t>ÖREBRO LÄN</t>
        </is>
      </c>
      <c r="E727" t="inlineStr">
        <is>
          <t>ÖREBRO</t>
        </is>
      </c>
      <c r="F727" t="inlineStr">
        <is>
          <t>Övriga Aktiebolag</t>
        </is>
      </c>
      <c r="G727" t="n">
        <v>14.9</v>
      </c>
      <c r="H727" t="n">
        <v>0</v>
      </c>
      <c r="I727" t="n">
        <v>0</v>
      </c>
      <c r="J727" t="n">
        <v>0</v>
      </c>
      <c r="K727" t="n">
        <v>0</v>
      </c>
      <c r="L727" t="n">
        <v>0</v>
      </c>
      <c r="M727" t="n">
        <v>0</v>
      </c>
      <c r="N727" t="n">
        <v>0</v>
      </c>
      <c r="O727" t="n">
        <v>0</v>
      </c>
      <c r="P727" t="n">
        <v>0</v>
      </c>
      <c r="Q727" t="n">
        <v>0</v>
      </c>
      <c r="R727" s="2" t="inlineStr"/>
    </row>
    <row r="728" ht="15" customHeight="1">
      <c r="A728" t="inlineStr">
        <is>
          <t>A 33292-2023</t>
        </is>
      </c>
      <c r="B728" s="1" t="n">
        <v>45127</v>
      </c>
      <c r="C728" s="1" t="n">
        <v>45513</v>
      </c>
      <c r="D728" t="inlineStr">
        <is>
          <t>ÖREBRO LÄN</t>
        </is>
      </c>
      <c r="E728" t="inlineStr">
        <is>
          <t>ÖREBRO</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33294-2023</t>
        </is>
      </c>
      <c r="B729" s="1" t="n">
        <v>45127</v>
      </c>
      <c r="C729" s="1" t="n">
        <v>45513</v>
      </c>
      <c r="D729" t="inlineStr">
        <is>
          <t>ÖREBRO LÄN</t>
        </is>
      </c>
      <c r="E729" t="inlineStr">
        <is>
          <t>ÖREBRO</t>
        </is>
      </c>
      <c r="F729" t="inlineStr">
        <is>
          <t>Övriga Aktiebolag</t>
        </is>
      </c>
      <c r="G729" t="n">
        <v>6.7</v>
      </c>
      <c r="H729" t="n">
        <v>0</v>
      </c>
      <c r="I729" t="n">
        <v>0</v>
      </c>
      <c r="J729" t="n">
        <v>0</v>
      </c>
      <c r="K729" t="n">
        <v>0</v>
      </c>
      <c r="L729" t="n">
        <v>0</v>
      </c>
      <c r="M729" t="n">
        <v>0</v>
      </c>
      <c r="N729" t="n">
        <v>0</v>
      </c>
      <c r="O729" t="n">
        <v>0</v>
      </c>
      <c r="P729" t="n">
        <v>0</v>
      </c>
      <c r="Q729" t="n">
        <v>0</v>
      </c>
      <c r="R729" s="2" t="inlineStr"/>
    </row>
    <row r="730" ht="15" customHeight="1">
      <c r="A730" t="inlineStr">
        <is>
          <t>A 33282-2023</t>
        </is>
      </c>
      <c r="B730" s="1" t="n">
        <v>45127</v>
      </c>
      <c r="C730" s="1" t="n">
        <v>45513</v>
      </c>
      <c r="D730" t="inlineStr">
        <is>
          <t>ÖREBRO LÄN</t>
        </is>
      </c>
      <c r="E730" t="inlineStr">
        <is>
          <t>ÖREBRO</t>
        </is>
      </c>
      <c r="F730" t="inlineStr">
        <is>
          <t>Övriga Aktiebolag</t>
        </is>
      </c>
      <c r="G730" t="n">
        <v>4.7</v>
      </c>
      <c r="H730" t="n">
        <v>0</v>
      </c>
      <c r="I730" t="n">
        <v>0</v>
      </c>
      <c r="J730" t="n">
        <v>0</v>
      </c>
      <c r="K730" t="n">
        <v>0</v>
      </c>
      <c r="L730" t="n">
        <v>0</v>
      </c>
      <c r="M730" t="n">
        <v>0</v>
      </c>
      <c r="N730" t="n">
        <v>0</v>
      </c>
      <c r="O730" t="n">
        <v>0</v>
      </c>
      <c r="P730" t="n">
        <v>0</v>
      </c>
      <c r="Q730" t="n">
        <v>0</v>
      </c>
      <c r="R730" s="2" t="inlineStr"/>
    </row>
    <row r="731" ht="15" customHeight="1">
      <c r="A731" t="inlineStr">
        <is>
          <t>A 33456-2023</t>
        </is>
      </c>
      <c r="B731" s="1" t="n">
        <v>45131</v>
      </c>
      <c r="C731" s="1" t="n">
        <v>45513</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33455-2023</t>
        </is>
      </c>
      <c r="B732" s="1" t="n">
        <v>45131</v>
      </c>
      <c r="C732" s="1" t="n">
        <v>45513</v>
      </c>
      <c r="D732" t="inlineStr">
        <is>
          <t>ÖREBRO LÄN</t>
        </is>
      </c>
      <c r="E732" t="inlineStr">
        <is>
          <t>ÖREBRO</t>
        </is>
      </c>
      <c r="G732" t="n">
        <v>0.7</v>
      </c>
      <c r="H732" t="n">
        <v>0</v>
      </c>
      <c r="I732" t="n">
        <v>0</v>
      </c>
      <c r="J732" t="n">
        <v>0</v>
      </c>
      <c r="K732" t="n">
        <v>0</v>
      </c>
      <c r="L732" t="n">
        <v>0</v>
      </c>
      <c r="M732" t="n">
        <v>0</v>
      </c>
      <c r="N732" t="n">
        <v>0</v>
      </c>
      <c r="O732" t="n">
        <v>0</v>
      </c>
      <c r="P732" t="n">
        <v>0</v>
      </c>
      <c r="Q732" t="n">
        <v>0</v>
      </c>
      <c r="R732" s="2" t="inlineStr"/>
    </row>
    <row r="733" ht="15" customHeight="1">
      <c r="A733" t="inlineStr">
        <is>
          <t>A 33457-2023</t>
        </is>
      </c>
      <c r="B733" s="1" t="n">
        <v>45131</v>
      </c>
      <c r="C733" s="1" t="n">
        <v>45513</v>
      </c>
      <c r="D733" t="inlineStr">
        <is>
          <t>ÖREBRO LÄN</t>
        </is>
      </c>
      <c r="E733" t="inlineStr">
        <is>
          <t>ÖREBRO</t>
        </is>
      </c>
      <c r="G733" t="n">
        <v>0.5</v>
      </c>
      <c r="H733" t="n">
        <v>0</v>
      </c>
      <c r="I733" t="n">
        <v>0</v>
      </c>
      <c r="J733" t="n">
        <v>0</v>
      </c>
      <c r="K733" t="n">
        <v>0</v>
      </c>
      <c r="L733" t="n">
        <v>0</v>
      </c>
      <c r="M733" t="n">
        <v>0</v>
      </c>
      <c r="N733" t="n">
        <v>0</v>
      </c>
      <c r="O733" t="n">
        <v>0</v>
      </c>
      <c r="P733" t="n">
        <v>0</v>
      </c>
      <c r="Q733" t="n">
        <v>0</v>
      </c>
      <c r="R733" s="2" t="inlineStr"/>
    </row>
    <row r="734" ht="15" customHeight="1">
      <c r="A734" t="inlineStr">
        <is>
          <t>A 33522-2023</t>
        </is>
      </c>
      <c r="B734" s="1" t="n">
        <v>45131</v>
      </c>
      <c r="C734" s="1" t="n">
        <v>45513</v>
      </c>
      <c r="D734" t="inlineStr">
        <is>
          <t>ÖREBRO LÄN</t>
        </is>
      </c>
      <c r="E734" t="inlineStr">
        <is>
          <t>ÖREBRO</t>
        </is>
      </c>
      <c r="F734" t="inlineStr">
        <is>
          <t>Övriga Aktiebolag</t>
        </is>
      </c>
      <c r="G734" t="n">
        <v>14.9</v>
      </c>
      <c r="H734" t="n">
        <v>0</v>
      </c>
      <c r="I734" t="n">
        <v>0</v>
      </c>
      <c r="J734" t="n">
        <v>0</v>
      </c>
      <c r="K734" t="n">
        <v>0</v>
      </c>
      <c r="L734" t="n">
        <v>0</v>
      </c>
      <c r="M734" t="n">
        <v>0</v>
      </c>
      <c r="N734" t="n">
        <v>0</v>
      </c>
      <c r="O734" t="n">
        <v>0</v>
      </c>
      <c r="P734" t="n">
        <v>0</v>
      </c>
      <c r="Q734" t="n">
        <v>0</v>
      </c>
      <c r="R734" s="2" t="inlineStr"/>
    </row>
    <row r="735" ht="15" customHeight="1">
      <c r="A735" t="inlineStr">
        <is>
          <t>A 33577-2023</t>
        </is>
      </c>
      <c r="B735" s="1" t="n">
        <v>45131</v>
      </c>
      <c r="C735" s="1" t="n">
        <v>45513</v>
      </c>
      <c r="D735" t="inlineStr">
        <is>
          <t>ÖREBRO LÄN</t>
        </is>
      </c>
      <c r="E735" t="inlineStr">
        <is>
          <t>ÖREBRO</t>
        </is>
      </c>
      <c r="G735" t="n">
        <v>2</v>
      </c>
      <c r="H735" t="n">
        <v>0</v>
      </c>
      <c r="I735" t="n">
        <v>0</v>
      </c>
      <c r="J735" t="n">
        <v>0</v>
      </c>
      <c r="K735" t="n">
        <v>0</v>
      </c>
      <c r="L735" t="n">
        <v>0</v>
      </c>
      <c r="M735" t="n">
        <v>0</v>
      </c>
      <c r="N735" t="n">
        <v>0</v>
      </c>
      <c r="O735" t="n">
        <v>0</v>
      </c>
      <c r="P735" t="n">
        <v>0</v>
      </c>
      <c r="Q735" t="n">
        <v>0</v>
      </c>
      <c r="R735" s="2" t="inlineStr"/>
    </row>
    <row r="736" ht="15" customHeight="1">
      <c r="A736" t="inlineStr">
        <is>
          <t>A 33634-2023</t>
        </is>
      </c>
      <c r="B736" s="1" t="n">
        <v>45132</v>
      </c>
      <c r="C736" s="1" t="n">
        <v>45513</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33628-2023</t>
        </is>
      </c>
      <c r="B737" s="1" t="n">
        <v>45132</v>
      </c>
      <c r="C737" s="1" t="n">
        <v>45513</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33632-2023</t>
        </is>
      </c>
      <c r="B738" s="1" t="n">
        <v>45132</v>
      </c>
      <c r="C738" s="1" t="n">
        <v>45513</v>
      </c>
      <c r="D738" t="inlineStr">
        <is>
          <t>ÖREBRO LÄN</t>
        </is>
      </c>
      <c r="E738" t="inlineStr">
        <is>
          <t>ÖREBRO</t>
        </is>
      </c>
      <c r="G738" t="n">
        <v>4.4</v>
      </c>
      <c r="H738" t="n">
        <v>0</v>
      </c>
      <c r="I738" t="n">
        <v>0</v>
      </c>
      <c r="J738" t="n">
        <v>0</v>
      </c>
      <c r="K738" t="n">
        <v>0</v>
      </c>
      <c r="L738" t="n">
        <v>0</v>
      </c>
      <c r="M738" t="n">
        <v>0</v>
      </c>
      <c r="N738" t="n">
        <v>0</v>
      </c>
      <c r="O738" t="n">
        <v>0</v>
      </c>
      <c r="P738" t="n">
        <v>0</v>
      </c>
      <c r="Q738" t="n">
        <v>0</v>
      </c>
      <c r="R738" s="2" t="inlineStr"/>
    </row>
    <row r="739" ht="15" customHeight="1">
      <c r="A739" t="inlineStr">
        <is>
          <t>A 33980-2023</t>
        </is>
      </c>
      <c r="B739" s="1" t="n">
        <v>45134</v>
      </c>
      <c r="C739" s="1" t="n">
        <v>45513</v>
      </c>
      <c r="D739" t="inlineStr">
        <is>
          <t>ÖREBRO LÄN</t>
        </is>
      </c>
      <c r="E739" t="inlineStr">
        <is>
          <t>ÖREBRO</t>
        </is>
      </c>
      <c r="F739" t="inlineStr">
        <is>
          <t>Övriga Aktiebolag</t>
        </is>
      </c>
      <c r="G739" t="n">
        <v>3.4</v>
      </c>
      <c r="H739" t="n">
        <v>0</v>
      </c>
      <c r="I739" t="n">
        <v>0</v>
      </c>
      <c r="J739" t="n">
        <v>0</v>
      </c>
      <c r="K739" t="n">
        <v>0</v>
      </c>
      <c r="L739" t="n">
        <v>0</v>
      </c>
      <c r="M739" t="n">
        <v>0</v>
      </c>
      <c r="N739" t="n">
        <v>0</v>
      </c>
      <c r="O739" t="n">
        <v>0</v>
      </c>
      <c r="P739" t="n">
        <v>0</v>
      </c>
      <c r="Q739" t="n">
        <v>0</v>
      </c>
      <c r="R739" s="2" t="inlineStr"/>
    </row>
    <row r="740" ht="15" customHeight="1">
      <c r="A740" t="inlineStr">
        <is>
          <t>A 33984-2023</t>
        </is>
      </c>
      <c r="B740" s="1" t="n">
        <v>45134</v>
      </c>
      <c r="C740" s="1" t="n">
        <v>45513</v>
      </c>
      <c r="D740" t="inlineStr">
        <is>
          <t>ÖREBRO LÄN</t>
        </is>
      </c>
      <c r="E740" t="inlineStr">
        <is>
          <t>ÖREBRO</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34056-2023</t>
        </is>
      </c>
      <c r="B741" s="1" t="n">
        <v>45135</v>
      </c>
      <c r="C741" s="1" t="n">
        <v>45513</v>
      </c>
      <c r="D741" t="inlineStr">
        <is>
          <t>ÖREBRO LÄN</t>
        </is>
      </c>
      <c r="E741" t="inlineStr">
        <is>
          <t>ÖREBRO</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34076-2023</t>
        </is>
      </c>
      <c r="B742" s="1" t="n">
        <v>45135</v>
      </c>
      <c r="C742" s="1" t="n">
        <v>45513</v>
      </c>
      <c r="D742" t="inlineStr">
        <is>
          <t>ÖREBRO LÄN</t>
        </is>
      </c>
      <c r="E742" t="inlineStr">
        <is>
          <t>ÖREBRO</t>
        </is>
      </c>
      <c r="F742" t="inlineStr">
        <is>
          <t>Övriga Aktiebolag</t>
        </is>
      </c>
      <c r="G742" t="n">
        <v>2</v>
      </c>
      <c r="H742" t="n">
        <v>0</v>
      </c>
      <c r="I742" t="n">
        <v>0</v>
      </c>
      <c r="J742" t="n">
        <v>0</v>
      </c>
      <c r="K742" t="n">
        <v>0</v>
      </c>
      <c r="L742" t="n">
        <v>0</v>
      </c>
      <c r="M742" t="n">
        <v>0</v>
      </c>
      <c r="N742" t="n">
        <v>0</v>
      </c>
      <c r="O742" t="n">
        <v>0</v>
      </c>
      <c r="P742" t="n">
        <v>0</v>
      </c>
      <c r="Q742" t="n">
        <v>0</v>
      </c>
      <c r="R742" s="2" t="inlineStr"/>
    </row>
    <row r="743" ht="15" customHeight="1">
      <c r="A743" t="inlineStr">
        <is>
          <t>A 34037-2023</t>
        </is>
      </c>
      <c r="B743" s="1" t="n">
        <v>45135</v>
      </c>
      <c r="C743" s="1" t="n">
        <v>45513</v>
      </c>
      <c r="D743" t="inlineStr">
        <is>
          <t>ÖREBRO LÄN</t>
        </is>
      </c>
      <c r="E743" t="inlineStr">
        <is>
          <t>ÖREBRO</t>
        </is>
      </c>
      <c r="F743" t="inlineStr">
        <is>
          <t>Övriga Aktiebolag</t>
        </is>
      </c>
      <c r="G743" t="n">
        <v>1.5</v>
      </c>
      <c r="H743" t="n">
        <v>0</v>
      </c>
      <c r="I743" t="n">
        <v>0</v>
      </c>
      <c r="J743" t="n">
        <v>0</v>
      </c>
      <c r="K743" t="n">
        <v>0</v>
      </c>
      <c r="L743" t="n">
        <v>0</v>
      </c>
      <c r="M743" t="n">
        <v>0</v>
      </c>
      <c r="N743" t="n">
        <v>0</v>
      </c>
      <c r="O743" t="n">
        <v>0</v>
      </c>
      <c r="P743" t="n">
        <v>0</v>
      </c>
      <c r="Q743" t="n">
        <v>0</v>
      </c>
      <c r="R743" s="2" t="inlineStr"/>
    </row>
    <row r="744" ht="15" customHeight="1">
      <c r="A744" t="inlineStr">
        <is>
          <t>A 34251-2023</t>
        </is>
      </c>
      <c r="B744" s="1" t="n">
        <v>45138</v>
      </c>
      <c r="C744" s="1" t="n">
        <v>45513</v>
      </c>
      <c r="D744" t="inlineStr">
        <is>
          <t>ÖREBRO LÄN</t>
        </is>
      </c>
      <c r="E744" t="inlineStr">
        <is>
          <t>ÖREBRO</t>
        </is>
      </c>
      <c r="G744" t="n">
        <v>1.9</v>
      </c>
      <c r="H744" t="n">
        <v>0</v>
      </c>
      <c r="I744" t="n">
        <v>0</v>
      </c>
      <c r="J744" t="n">
        <v>0</v>
      </c>
      <c r="K744" t="n">
        <v>0</v>
      </c>
      <c r="L744" t="n">
        <v>0</v>
      </c>
      <c r="M744" t="n">
        <v>0</v>
      </c>
      <c r="N744" t="n">
        <v>0</v>
      </c>
      <c r="O744" t="n">
        <v>0</v>
      </c>
      <c r="P744" t="n">
        <v>0</v>
      </c>
      <c r="Q744" t="n">
        <v>0</v>
      </c>
      <c r="R744" s="2" t="inlineStr"/>
    </row>
    <row r="745" ht="15" customHeight="1">
      <c r="A745" t="inlineStr">
        <is>
          <t>A 34769-2023</t>
        </is>
      </c>
      <c r="B745" s="1" t="n">
        <v>45141</v>
      </c>
      <c r="C745" s="1" t="n">
        <v>45513</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35187-2023</t>
        </is>
      </c>
      <c r="B746" s="1" t="n">
        <v>45145</v>
      </c>
      <c r="C746" s="1" t="n">
        <v>45513</v>
      </c>
      <c r="D746" t="inlineStr">
        <is>
          <t>ÖREBRO LÄN</t>
        </is>
      </c>
      <c r="E746" t="inlineStr">
        <is>
          <t>ÖREBRO</t>
        </is>
      </c>
      <c r="G746" t="n">
        <v>1.3</v>
      </c>
      <c r="H746" t="n">
        <v>0</v>
      </c>
      <c r="I746" t="n">
        <v>0</v>
      </c>
      <c r="J746" t="n">
        <v>0</v>
      </c>
      <c r="K746" t="n">
        <v>0</v>
      </c>
      <c r="L746" t="n">
        <v>0</v>
      </c>
      <c r="M746" t="n">
        <v>0</v>
      </c>
      <c r="N746" t="n">
        <v>0</v>
      </c>
      <c r="O746" t="n">
        <v>0</v>
      </c>
      <c r="P746" t="n">
        <v>0</v>
      </c>
      <c r="Q746" t="n">
        <v>0</v>
      </c>
      <c r="R746" s="2" t="inlineStr"/>
    </row>
    <row r="747" ht="15" customHeight="1">
      <c r="A747" t="inlineStr">
        <is>
          <t>A 35707-2023</t>
        </is>
      </c>
      <c r="B747" s="1" t="n">
        <v>45147</v>
      </c>
      <c r="C747" s="1" t="n">
        <v>45513</v>
      </c>
      <c r="D747" t="inlineStr">
        <is>
          <t>ÖREBRO LÄN</t>
        </is>
      </c>
      <c r="E747" t="inlineStr">
        <is>
          <t>ÖREBRO</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35717-2023</t>
        </is>
      </c>
      <c r="B748" s="1" t="n">
        <v>45147</v>
      </c>
      <c r="C748" s="1" t="n">
        <v>45513</v>
      </c>
      <c r="D748" t="inlineStr">
        <is>
          <t>ÖREBRO LÄN</t>
        </is>
      </c>
      <c r="E748" t="inlineStr">
        <is>
          <t>ÖREBRO</t>
        </is>
      </c>
      <c r="F748" t="inlineStr">
        <is>
          <t>Övriga Aktiebolag</t>
        </is>
      </c>
      <c r="G748" t="n">
        <v>1.5</v>
      </c>
      <c r="H748" t="n">
        <v>0</v>
      </c>
      <c r="I748" t="n">
        <v>0</v>
      </c>
      <c r="J748" t="n">
        <v>0</v>
      </c>
      <c r="K748" t="n">
        <v>0</v>
      </c>
      <c r="L748" t="n">
        <v>0</v>
      </c>
      <c r="M748" t="n">
        <v>0</v>
      </c>
      <c r="N748" t="n">
        <v>0</v>
      </c>
      <c r="O748" t="n">
        <v>0</v>
      </c>
      <c r="P748" t="n">
        <v>0</v>
      </c>
      <c r="Q748" t="n">
        <v>0</v>
      </c>
      <c r="R748" s="2" t="inlineStr"/>
    </row>
    <row r="749" ht="15" customHeight="1">
      <c r="A749" t="inlineStr">
        <is>
          <t>A 36080-2023</t>
        </is>
      </c>
      <c r="B749" s="1" t="n">
        <v>45149</v>
      </c>
      <c r="C749" s="1" t="n">
        <v>45513</v>
      </c>
      <c r="D749" t="inlineStr">
        <is>
          <t>ÖREBRO LÄN</t>
        </is>
      </c>
      <c r="E749" t="inlineStr">
        <is>
          <t>ÖREBRO</t>
        </is>
      </c>
      <c r="G749" t="n">
        <v>5</v>
      </c>
      <c r="H749" t="n">
        <v>0</v>
      </c>
      <c r="I749" t="n">
        <v>0</v>
      </c>
      <c r="J749" t="n">
        <v>0</v>
      </c>
      <c r="K749" t="n">
        <v>0</v>
      </c>
      <c r="L749" t="n">
        <v>0</v>
      </c>
      <c r="M749" t="n">
        <v>0</v>
      </c>
      <c r="N749" t="n">
        <v>0</v>
      </c>
      <c r="O749" t="n">
        <v>0</v>
      </c>
      <c r="P749" t="n">
        <v>0</v>
      </c>
      <c r="Q749" t="n">
        <v>0</v>
      </c>
      <c r="R749" s="2" t="inlineStr"/>
    </row>
    <row r="750" ht="15" customHeight="1">
      <c r="A750" t="inlineStr">
        <is>
          <t>A 36445-2023</t>
        </is>
      </c>
      <c r="B750" s="1" t="n">
        <v>45152</v>
      </c>
      <c r="C750" s="1" t="n">
        <v>45513</v>
      </c>
      <c r="D750" t="inlineStr">
        <is>
          <t>ÖREBRO LÄN</t>
        </is>
      </c>
      <c r="E750" t="inlineStr">
        <is>
          <t>ÖREBRO</t>
        </is>
      </c>
      <c r="G750" t="n">
        <v>2</v>
      </c>
      <c r="H750" t="n">
        <v>0</v>
      </c>
      <c r="I750" t="n">
        <v>0</v>
      </c>
      <c r="J750" t="n">
        <v>0</v>
      </c>
      <c r="K750" t="n">
        <v>0</v>
      </c>
      <c r="L750" t="n">
        <v>0</v>
      </c>
      <c r="M750" t="n">
        <v>0</v>
      </c>
      <c r="N750" t="n">
        <v>0</v>
      </c>
      <c r="O750" t="n">
        <v>0</v>
      </c>
      <c r="P750" t="n">
        <v>0</v>
      </c>
      <c r="Q750" t="n">
        <v>0</v>
      </c>
      <c r="R750" s="2" t="inlineStr"/>
    </row>
    <row r="751" ht="15" customHeight="1">
      <c r="A751" t="inlineStr">
        <is>
          <t>A 36635-2023</t>
        </is>
      </c>
      <c r="B751" s="1" t="n">
        <v>45153</v>
      </c>
      <c r="C751" s="1" t="n">
        <v>45513</v>
      </c>
      <c r="D751" t="inlineStr">
        <is>
          <t>ÖREBRO LÄN</t>
        </is>
      </c>
      <c r="E751" t="inlineStr">
        <is>
          <t>ÖREBRO</t>
        </is>
      </c>
      <c r="G751" t="n">
        <v>1.9</v>
      </c>
      <c r="H751" t="n">
        <v>0</v>
      </c>
      <c r="I751" t="n">
        <v>0</v>
      </c>
      <c r="J751" t="n">
        <v>0</v>
      </c>
      <c r="K751" t="n">
        <v>0</v>
      </c>
      <c r="L751" t="n">
        <v>0</v>
      </c>
      <c r="M751" t="n">
        <v>0</v>
      </c>
      <c r="N751" t="n">
        <v>0</v>
      </c>
      <c r="O751" t="n">
        <v>0</v>
      </c>
      <c r="P751" t="n">
        <v>0</v>
      </c>
      <c r="Q751" t="n">
        <v>0</v>
      </c>
      <c r="R751" s="2" t="inlineStr"/>
    </row>
    <row r="752" ht="15" customHeight="1">
      <c r="A752" t="inlineStr">
        <is>
          <t>A 38223-2023</t>
        </is>
      </c>
      <c r="B752" s="1" t="n">
        <v>45161</v>
      </c>
      <c r="C752" s="1" t="n">
        <v>45513</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38415-2023</t>
        </is>
      </c>
      <c r="B753" s="1" t="n">
        <v>45162</v>
      </c>
      <c r="C753" s="1" t="n">
        <v>45513</v>
      </c>
      <c r="D753" t="inlineStr">
        <is>
          <t>ÖREBRO LÄN</t>
        </is>
      </c>
      <c r="E753" t="inlineStr">
        <is>
          <t>ÖREBRO</t>
        </is>
      </c>
      <c r="G753" t="n">
        <v>2.6</v>
      </c>
      <c r="H753" t="n">
        <v>0</v>
      </c>
      <c r="I753" t="n">
        <v>0</v>
      </c>
      <c r="J753" t="n">
        <v>0</v>
      </c>
      <c r="K753" t="n">
        <v>0</v>
      </c>
      <c r="L753" t="n">
        <v>0</v>
      </c>
      <c r="M753" t="n">
        <v>0</v>
      </c>
      <c r="N753" t="n">
        <v>0</v>
      </c>
      <c r="O753" t="n">
        <v>0</v>
      </c>
      <c r="P753" t="n">
        <v>0</v>
      </c>
      <c r="Q753" t="n">
        <v>0</v>
      </c>
      <c r="R753" s="2" t="inlineStr"/>
    </row>
    <row r="754" ht="15" customHeight="1">
      <c r="A754" t="inlineStr">
        <is>
          <t>A 38422-2023</t>
        </is>
      </c>
      <c r="B754" s="1" t="n">
        <v>45162</v>
      </c>
      <c r="C754" s="1" t="n">
        <v>45513</v>
      </c>
      <c r="D754" t="inlineStr">
        <is>
          <t>ÖREBRO LÄN</t>
        </is>
      </c>
      <c r="E754" t="inlineStr">
        <is>
          <t>ÖREBRO</t>
        </is>
      </c>
      <c r="G754" t="n">
        <v>8</v>
      </c>
      <c r="H754" t="n">
        <v>0</v>
      </c>
      <c r="I754" t="n">
        <v>0</v>
      </c>
      <c r="J754" t="n">
        <v>0</v>
      </c>
      <c r="K754" t="n">
        <v>0</v>
      </c>
      <c r="L754" t="n">
        <v>0</v>
      </c>
      <c r="M754" t="n">
        <v>0</v>
      </c>
      <c r="N754" t="n">
        <v>0</v>
      </c>
      <c r="O754" t="n">
        <v>0</v>
      </c>
      <c r="P754" t="n">
        <v>0</v>
      </c>
      <c r="Q754" t="n">
        <v>0</v>
      </c>
      <c r="R754" s="2" t="inlineStr"/>
    </row>
    <row r="755" ht="15" customHeight="1">
      <c r="A755" t="inlineStr">
        <is>
          <t>A 38489-2023</t>
        </is>
      </c>
      <c r="B755" s="1" t="n">
        <v>45162</v>
      </c>
      <c r="C755" s="1" t="n">
        <v>45513</v>
      </c>
      <c r="D755" t="inlineStr">
        <is>
          <t>ÖREBRO LÄN</t>
        </is>
      </c>
      <c r="E755" t="inlineStr">
        <is>
          <t>ÖREBRO</t>
        </is>
      </c>
      <c r="G755" t="n">
        <v>1.8</v>
      </c>
      <c r="H755" t="n">
        <v>0</v>
      </c>
      <c r="I755" t="n">
        <v>0</v>
      </c>
      <c r="J755" t="n">
        <v>0</v>
      </c>
      <c r="K755" t="n">
        <v>0</v>
      </c>
      <c r="L755" t="n">
        <v>0</v>
      </c>
      <c r="M755" t="n">
        <v>0</v>
      </c>
      <c r="N755" t="n">
        <v>0</v>
      </c>
      <c r="O755" t="n">
        <v>0</v>
      </c>
      <c r="P755" t="n">
        <v>0</v>
      </c>
      <c r="Q755" t="n">
        <v>0</v>
      </c>
      <c r="R755" s="2" t="inlineStr"/>
    </row>
    <row r="756" ht="15" customHeight="1">
      <c r="A756" t="inlineStr">
        <is>
          <t>A 38573-2023</t>
        </is>
      </c>
      <c r="B756" s="1" t="n">
        <v>45162</v>
      </c>
      <c r="C756" s="1" t="n">
        <v>45513</v>
      </c>
      <c r="D756" t="inlineStr">
        <is>
          <t>ÖREBRO LÄN</t>
        </is>
      </c>
      <c r="E756" t="inlineStr">
        <is>
          <t>ÖREBRO</t>
        </is>
      </c>
      <c r="G756" t="n">
        <v>2.2</v>
      </c>
      <c r="H756" t="n">
        <v>0</v>
      </c>
      <c r="I756" t="n">
        <v>0</v>
      </c>
      <c r="J756" t="n">
        <v>0</v>
      </c>
      <c r="K756" t="n">
        <v>0</v>
      </c>
      <c r="L756" t="n">
        <v>0</v>
      </c>
      <c r="M756" t="n">
        <v>0</v>
      </c>
      <c r="N756" t="n">
        <v>0</v>
      </c>
      <c r="O756" t="n">
        <v>0</v>
      </c>
      <c r="P756" t="n">
        <v>0</v>
      </c>
      <c r="Q756" t="n">
        <v>0</v>
      </c>
      <c r="R756" s="2" t="inlineStr"/>
    </row>
    <row r="757" ht="15" customHeight="1">
      <c r="A757" t="inlineStr">
        <is>
          <t>A 38583-2023</t>
        </is>
      </c>
      <c r="B757" s="1" t="n">
        <v>45162</v>
      </c>
      <c r="C757" s="1" t="n">
        <v>45513</v>
      </c>
      <c r="D757" t="inlineStr">
        <is>
          <t>ÖREBRO LÄN</t>
        </is>
      </c>
      <c r="E757" t="inlineStr">
        <is>
          <t>ÖREBRO</t>
        </is>
      </c>
      <c r="G757" t="n">
        <v>5.7</v>
      </c>
      <c r="H757" t="n">
        <v>0</v>
      </c>
      <c r="I757" t="n">
        <v>0</v>
      </c>
      <c r="J757" t="n">
        <v>0</v>
      </c>
      <c r="K757" t="n">
        <v>0</v>
      </c>
      <c r="L757" t="n">
        <v>0</v>
      </c>
      <c r="M757" t="n">
        <v>0</v>
      </c>
      <c r="N757" t="n">
        <v>0</v>
      </c>
      <c r="O757" t="n">
        <v>0</v>
      </c>
      <c r="P757" t="n">
        <v>0</v>
      </c>
      <c r="Q757" t="n">
        <v>0</v>
      </c>
      <c r="R757" s="2" t="inlineStr"/>
    </row>
    <row r="758" ht="15" customHeight="1">
      <c r="A758" t="inlineStr">
        <is>
          <t>A 38898-2023</t>
        </is>
      </c>
      <c r="B758" s="1" t="n">
        <v>45163</v>
      </c>
      <c r="C758" s="1" t="n">
        <v>45513</v>
      </c>
      <c r="D758" t="inlineStr">
        <is>
          <t>ÖREBRO LÄN</t>
        </is>
      </c>
      <c r="E758" t="inlineStr">
        <is>
          <t>ÖREBRO</t>
        </is>
      </c>
      <c r="G758" t="n">
        <v>5.1</v>
      </c>
      <c r="H758" t="n">
        <v>0</v>
      </c>
      <c r="I758" t="n">
        <v>0</v>
      </c>
      <c r="J758" t="n">
        <v>0</v>
      </c>
      <c r="K758" t="n">
        <v>0</v>
      </c>
      <c r="L758" t="n">
        <v>0</v>
      </c>
      <c r="M758" t="n">
        <v>0</v>
      </c>
      <c r="N758" t="n">
        <v>0</v>
      </c>
      <c r="O758" t="n">
        <v>0</v>
      </c>
      <c r="P758" t="n">
        <v>0</v>
      </c>
      <c r="Q758" t="n">
        <v>0</v>
      </c>
      <c r="R758" s="2" t="inlineStr"/>
    </row>
    <row r="759" ht="15" customHeight="1">
      <c r="A759" t="inlineStr">
        <is>
          <t>A 39130-2023</t>
        </is>
      </c>
      <c r="B759" s="1" t="n">
        <v>45165</v>
      </c>
      <c r="C759" s="1" t="n">
        <v>45513</v>
      </c>
      <c r="D759" t="inlineStr">
        <is>
          <t>ÖREBRO LÄN</t>
        </is>
      </c>
      <c r="E759" t="inlineStr">
        <is>
          <t>ÖREBRO</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39696-2023</t>
        </is>
      </c>
      <c r="B760" s="1" t="n">
        <v>45167</v>
      </c>
      <c r="C760" s="1" t="n">
        <v>45513</v>
      </c>
      <c r="D760" t="inlineStr">
        <is>
          <t>ÖREBRO LÄN</t>
        </is>
      </c>
      <c r="E760" t="inlineStr">
        <is>
          <t>ÖREBRO</t>
        </is>
      </c>
      <c r="G760" t="n">
        <v>4.7</v>
      </c>
      <c r="H760" t="n">
        <v>0</v>
      </c>
      <c r="I760" t="n">
        <v>0</v>
      </c>
      <c r="J760" t="n">
        <v>0</v>
      </c>
      <c r="K760" t="n">
        <v>0</v>
      </c>
      <c r="L760" t="n">
        <v>0</v>
      </c>
      <c r="M760" t="n">
        <v>0</v>
      </c>
      <c r="N760" t="n">
        <v>0</v>
      </c>
      <c r="O760" t="n">
        <v>0</v>
      </c>
      <c r="P760" t="n">
        <v>0</v>
      </c>
      <c r="Q760" t="n">
        <v>0</v>
      </c>
      <c r="R760" s="2" t="inlineStr"/>
    </row>
    <row r="761" ht="15" customHeight="1">
      <c r="A761" t="inlineStr">
        <is>
          <t>A 39782-2023</t>
        </is>
      </c>
      <c r="B761" s="1" t="n">
        <v>45167</v>
      </c>
      <c r="C761" s="1" t="n">
        <v>45513</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40656-2023</t>
        </is>
      </c>
      <c r="B762" s="1" t="n">
        <v>45170</v>
      </c>
      <c r="C762" s="1" t="n">
        <v>45513</v>
      </c>
      <c r="D762" t="inlineStr">
        <is>
          <t>ÖREBRO LÄN</t>
        </is>
      </c>
      <c r="E762" t="inlineStr">
        <is>
          <t>ÖREBRO</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41255-2023</t>
        </is>
      </c>
      <c r="B763" s="1" t="n">
        <v>45174</v>
      </c>
      <c r="C763" s="1" t="n">
        <v>45513</v>
      </c>
      <c r="D763" t="inlineStr">
        <is>
          <t>ÖREBRO LÄN</t>
        </is>
      </c>
      <c r="E763" t="inlineStr">
        <is>
          <t>ÖREBRO</t>
        </is>
      </c>
      <c r="G763" t="n">
        <v>2.5</v>
      </c>
      <c r="H763" t="n">
        <v>0</v>
      </c>
      <c r="I763" t="n">
        <v>0</v>
      </c>
      <c r="J763" t="n">
        <v>0</v>
      </c>
      <c r="K763" t="n">
        <v>0</v>
      </c>
      <c r="L763" t="n">
        <v>0</v>
      </c>
      <c r="M763" t="n">
        <v>0</v>
      </c>
      <c r="N763" t="n">
        <v>0</v>
      </c>
      <c r="O763" t="n">
        <v>0</v>
      </c>
      <c r="P763" t="n">
        <v>0</v>
      </c>
      <c r="Q763" t="n">
        <v>0</v>
      </c>
      <c r="R763" s="2" t="inlineStr"/>
    </row>
    <row r="764" ht="15" customHeight="1">
      <c r="A764" t="inlineStr">
        <is>
          <t>A 41455-2023</t>
        </is>
      </c>
      <c r="B764" s="1" t="n">
        <v>45175</v>
      </c>
      <c r="C764" s="1" t="n">
        <v>45513</v>
      </c>
      <c r="D764" t="inlineStr">
        <is>
          <t>ÖREBRO LÄN</t>
        </is>
      </c>
      <c r="E764" t="inlineStr">
        <is>
          <t>ÖREBRO</t>
        </is>
      </c>
      <c r="G764" t="n">
        <v>2</v>
      </c>
      <c r="H764" t="n">
        <v>0</v>
      </c>
      <c r="I764" t="n">
        <v>0</v>
      </c>
      <c r="J764" t="n">
        <v>0</v>
      </c>
      <c r="K764" t="n">
        <v>0</v>
      </c>
      <c r="L764" t="n">
        <v>0</v>
      </c>
      <c r="M764" t="n">
        <v>0</v>
      </c>
      <c r="N764" t="n">
        <v>0</v>
      </c>
      <c r="O764" t="n">
        <v>0</v>
      </c>
      <c r="P764" t="n">
        <v>0</v>
      </c>
      <c r="Q764" t="n">
        <v>0</v>
      </c>
      <c r="R764" s="2" t="inlineStr"/>
    </row>
    <row r="765" ht="15" customHeight="1">
      <c r="A765" t="inlineStr">
        <is>
          <t>A 41593-2023</t>
        </is>
      </c>
      <c r="B765" s="1" t="n">
        <v>45175</v>
      </c>
      <c r="C765" s="1" t="n">
        <v>45513</v>
      </c>
      <c r="D765" t="inlineStr">
        <is>
          <t>ÖREBRO LÄN</t>
        </is>
      </c>
      <c r="E765" t="inlineStr">
        <is>
          <t>ÖREBRO</t>
        </is>
      </c>
      <c r="G765" t="n">
        <v>2.2</v>
      </c>
      <c r="H765" t="n">
        <v>0</v>
      </c>
      <c r="I765" t="n">
        <v>0</v>
      </c>
      <c r="J765" t="n">
        <v>0</v>
      </c>
      <c r="K765" t="n">
        <v>0</v>
      </c>
      <c r="L765" t="n">
        <v>0</v>
      </c>
      <c r="M765" t="n">
        <v>0</v>
      </c>
      <c r="N765" t="n">
        <v>0</v>
      </c>
      <c r="O765" t="n">
        <v>0</v>
      </c>
      <c r="P765" t="n">
        <v>0</v>
      </c>
      <c r="Q765" t="n">
        <v>0</v>
      </c>
      <c r="R765" s="2" t="inlineStr"/>
    </row>
    <row r="766" ht="15" customHeight="1">
      <c r="A766" t="inlineStr">
        <is>
          <t>A 41466-2023</t>
        </is>
      </c>
      <c r="B766" s="1" t="n">
        <v>45175</v>
      </c>
      <c r="C766" s="1" t="n">
        <v>45513</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41974-2023</t>
        </is>
      </c>
      <c r="B767" s="1" t="n">
        <v>45177</v>
      </c>
      <c r="C767" s="1" t="n">
        <v>45513</v>
      </c>
      <c r="D767" t="inlineStr">
        <is>
          <t>ÖREBRO LÄN</t>
        </is>
      </c>
      <c r="E767" t="inlineStr">
        <is>
          <t>ÖREBRO</t>
        </is>
      </c>
      <c r="G767" t="n">
        <v>3.4</v>
      </c>
      <c r="H767" t="n">
        <v>0</v>
      </c>
      <c r="I767" t="n">
        <v>0</v>
      </c>
      <c r="J767" t="n">
        <v>0</v>
      </c>
      <c r="K767" t="n">
        <v>0</v>
      </c>
      <c r="L767" t="n">
        <v>0</v>
      </c>
      <c r="M767" t="n">
        <v>0</v>
      </c>
      <c r="N767" t="n">
        <v>0</v>
      </c>
      <c r="O767" t="n">
        <v>0</v>
      </c>
      <c r="P767" t="n">
        <v>0</v>
      </c>
      <c r="Q767" t="n">
        <v>0</v>
      </c>
      <c r="R767" s="2" t="inlineStr"/>
    </row>
    <row r="768" ht="15" customHeight="1">
      <c r="A768" t="inlineStr">
        <is>
          <t>A 41992-2023</t>
        </is>
      </c>
      <c r="B768" s="1" t="n">
        <v>45177</v>
      </c>
      <c r="C768" s="1" t="n">
        <v>45513</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43273-2023</t>
        </is>
      </c>
      <c r="B769" s="1" t="n">
        <v>45180</v>
      </c>
      <c r="C769" s="1" t="n">
        <v>45513</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43255-2023</t>
        </is>
      </c>
      <c r="B770" s="1" t="n">
        <v>45180</v>
      </c>
      <c r="C770" s="1" t="n">
        <v>45513</v>
      </c>
      <c r="D770" t="inlineStr">
        <is>
          <t>ÖREBRO LÄN</t>
        </is>
      </c>
      <c r="E770" t="inlineStr">
        <is>
          <t>ÖREBRO</t>
        </is>
      </c>
      <c r="G770" t="n">
        <v>4.8</v>
      </c>
      <c r="H770" t="n">
        <v>0</v>
      </c>
      <c r="I770" t="n">
        <v>0</v>
      </c>
      <c r="J770" t="n">
        <v>0</v>
      </c>
      <c r="K770" t="n">
        <v>0</v>
      </c>
      <c r="L770" t="n">
        <v>0</v>
      </c>
      <c r="M770" t="n">
        <v>0</v>
      </c>
      <c r="N770" t="n">
        <v>0</v>
      </c>
      <c r="O770" t="n">
        <v>0</v>
      </c>
      <c r="P770" t="n">
        <v>0</v>
      </c>
      <c r="Q770" t="n">
        <v>0</v>
      </c>
      <c r="R770" s="2" t="inlineStr"/>
    </row>
    <row r="771" ht="15" customHeight="1">
      <c r="A771" t="inlineStr">
        <is>
          <t>A 42636-2023</t>
        </is>
      </c>
      <c r="B771" s="1" t="n">
        <v>45181</v>
      </c>
      <c r="C771" s="1" t="n">
        <v>45513</v>
      </c>
      <c r="D771" t="inlineStr">
        <is>
          <t>ÖREBRO LÄN</t>
        </is>
      </c>
      <c r="E771" t="inlineStr">
        <is>
          <t>ÖREBRO</t>
        </is>
      </c>
      <c r="G771" t="n">
        <v>1.7</v>
      </c>
      <c r="H771" t="n">
        <v>0</v>
      </c>
      <c r="I771" t="n">
        <v>0</v>
      </c>
      <c r="J771" t="n">
        <v>0</v>
      </c>
      <c r="K771" t="n">
        <v>0</v>
      </c>
      <c r="L771" t="n">
        <v>0</v>
      </c>
      <c r="M771" t="n">
        <v>0</v>
      </c>
      <c r="N771" t="n">
        <v>0</v>
      </c>
      <c r="O771" t="n">
        <v>0</v>
      </c>
      <c r="P771" t="n">
        <v>0</v>
      </c>
      <c r="Q771" t="n">
        <v>0</v>
      </c>
      <c r="R771" s="2" t="inlineStr"/>
    </row>
    <row r="772" ht="15" customHeight="1">
      <c r="A772" t="inlineStr">
        <is>
          <t>A 43520-2023</t>
        </is>
      </c>
      <c r="B772" s="1" t="n">
        <v>45184</v>
      </c>
      <c r="C772" s="1" t="n">
        <v>45513</v>
      </c>
      <c r="D772" t="inlineStr">
        <is>
          <t>ÖREBRO LÄN</t>
        </is>
      </c>
      <c r="E772" t="inlineStr">
        <is>
          <t>ÖREBRO</t>
        </is>
      </c>
      <c r="G772" t="n">
        <v>5.1</v>
      </c>
      <c r="H772" t="n">
        <v>0</v>
      </c>
      <c r="I772" t="n">
        <v>0</v>
      </c>
      <c r="J772" t="n">
        <v>0</v>
      </c>
      <c r="K772" t="n">
        <v>0</v>
      </c>
      <c r="L772" t="n">
        <v>0</v>
      </c>
      <c r="M772" t="n">
        <v>0</v>
      </c>
      <c r="N772" t="n">
        <v>0</v>
      </c>
      <c r="O772" t="n">
        <v>0</v>
      </c>
      <c r="P772" t="n">
        <v>0</v>
      </c>
      <c r="Q772" t="n">
        <v>0</v>
      </c>
      <c r="R772" s="2" t="inlineStr"/>
    </row>
    <row r="773" ht="15" customHeight="1">
      <c r="A773" t="inlineStr">
        <is>
          <t>A 43803-2023</t>
        </is>
      </c>
      <c r="B773" s="1" t="n">
        <v>45187</v>
      </c>
      <c r="C773" s="1" t="n">
        <v>45513</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44511-2023</t>
        </is>
      </c>
      <c r="B774" s="1" t="n">
        <v>45189</v>
      </c>
      <c r="C774" s="1" t="n">
        <v>45513</v>
      </c>
      <c r="D774" t="inlineStr">
        <is>
          <t>ÖREBRO LÄN</t>
        </is>
      </c>
      <c r="E774" t="inlineStr">
        <is>
          <t>ÖREBRO</t>
        </is>
      </c>
      <c r="F774" t="inlineStr">
        <is>
          <t>Allmännings- och besparingsskogar</t>
        </is>
      </c>
      <c r="G774" t="n">
        <v>2.7</v>
      </c>
      <c r="H774" t="n">
        <v>0</v>
      </c>
      <c r="I774" t="n">
        <v>0</v>
      </c>
      <c r="J774" t="n">
        <v>0</v>
      </c>
      <c r="K774" t="n">
        <v>0</v>
      </c>
      <c r="L774" t="n">
        <v>0</v>
      </c>
      <c r="M774" t="n">
        <v>0</v>
      </c>
      <c r="N774" t="n">
        <v>0</v>
      </c>
      <c r="O774" t="n">
        <v>0</v>
      </c>
      <c r="P774" t="n">
        <v>0</v>
      </c>
      <c r="Q774" t="n">
        <v>0</v>
      </c>
      <c r="R774" s="2" t="inlineStr"/>
    </row>
    <row r="775" ht="15" customHeight="1">
      <c r="A775" t="inlineStr">
        <is>
          <t>A 45897-2023</t>
        </is>
      </c>
      <c r="B775" s="1" t="n">
        <v>45189</v>
      </c>
      <c r="C775" s="1" t="n">
        <v>45513</v>
      </c>
      <c r="D775" t="inlineStr">
        <is>
          <t>ÖREBRO LÄN</t>
        </is>
      </c>
      <c r="E775" t="inlineStr">
        <is>
          <t>ÖREBRO</t>
        </is>
      </c>
      <c r="G775" t="n">
        <v>13</v>
      </c>
      <c r="H775" t="n">
        <v>0</v>
      </c>
      <c r="I775" t="n">
        <v>0</v>
      </c>
      <c r="J775" t="n">
        <v>0</v>
      </c>
      <c r="K775" t="n">
        <v>0</v>
      </c>
      <c r="L775" t="n">
        <v>0</v>
      </c>
      <c r="M775" t="n">
        <v>0</v>
      </c>
      <c r="N775" t="n">
        <v>0</v>
      </c>
      <c r="O775" t="n">
        <v>0</v>
      </c>
      <c r="P775" t="n">
        <v>0</v>
      </c>
      <c r="Q775" t="n">
        <v>0</v>
      </c>
      <c r="R775" s="2" t="inlineStr"/>
    </row>
    <row r="776" ht="15" customHeight="1">
      <c r="A776" t="inlineStr">
        <is>
          <t>A 45237-2023</t>
        </is>
      </c>
      <c r="B776" s="1" t="n">
        <v>45191</v>
      </c>
      <c r="C776" s="1" t="n">
        <v>45513</v>
      </c>
      <c r="D776" t="inlineStr">
        <is>
          <t>ÖREBRO LÄN</t>
        </is>
      </c>
      <c r="E776" t="inlineStr">
        <is>
          <t>ÖREBRO</t>
        </is>
      </c>
      <c r="G776" t="n">
        <v>1.3</v>
      </c>
      <c r="H776" t="n">
        <v>0</v>
      </c>
      <c r="I776" t="n">
        <v>0</v>
      </c>
      <c r="J776" t="n">
        <v>0</v>
      </c>
      <c r="K776" t="n">
        <v>0</v>
      </c>
      <c r="L776" t="n">
        <v>0</v>
      </c>
      <c r="M776" t="n">
        <v>0</v>
      </c>
      <c r="N776" t="n">
        <v>0</v>
      </c>
      <c r="O776" t="n">
        <v>0</v>
      </c>
      <c r="P776" t="n">
        <v>0</v>
      </c>
      <c r="Q776" t="n">
        <v>0</v>
      </c>
      <c r="R776" s="2" t="inlineStr"/>
    </row>
    <row r="777" ht="15" customHeight="1">
      <c r="A777" t="inlineStr">
        <is>
          <t>A 45517-2023</t>
        </is>
      </c>
      <c r="B777" s="1" t="n">
        <v>45194</v>
      </c>
      <c r="C777" s="1" t="n">
        <v>45513</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46182-2023</t>
        </is>
      </c>
      <c r="B778" s="1" t="n">
        <v>45196</v>
      </c>
      <c r="C778" s="1" t="n">
        <v>45513</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46496-2023</t>
        </is>
      </c>
      <c r="B779" s="1" t="n">
        <v>45197</v>
      </c>
      <c r="C779" s="1" t="n">
        <v>45513</v>
      </c>
      <c r="D779" t="inlineStr">
        <is>
          <t>ÖREBRO LÄN</t>
        </is>
      </c>
      <c r="E779" t="inlineStr">
        <is>
          <t>ÖREBRO</t>
        </is>
      </c>
      <c r="G779" t="n">
        <v>3</v>
      </c>
      <c r="H779" t="n">
        <v>0</v>
      </c>
      <c r="I779" t="n">
        <v>0</v>
      </c>
      <c r="J779" t="n">
        <v>0</v>
      </c>
      <c r="K779" t="n">
        <v>0</v>
      </c>
      <c r="L779" t="n">
        <v>0</v>
      </c>
      <c r="M779" t="n">
        <v>0</v>
      </c>
      <c r="N779" t="n">
        <v>0</v>
      </c>
      <c r="O779" t="n">
        <v>0</v>
      </c>
      <c r="P779" t="n">
        <v>0</v>
      </c>
      <c r="Q779" t="n">
        <v>0</v>
      </c>
      <c r="R779" s="2" t="inlineStr"/>
    </row>
    <row r="780" ht="15" customHeight="1">
      <c r="A780" t="inlineStr">
        <is>
          <t>A 46502-2023</t>
        </is>
      </c>
      <c r="B780" s="1" t="n">
        <v>45197</v>
      </c>
      <c r="C780" s="1" t="n">
        <v>45513</v>
      </c>
      <c r="D780" t="inlineStr">
        <is>
          <t>ÖREBRO LÄN</t>
        </is>
      </c>
      <c r="E780" t="inlineStr">
        <is>
          <t>ÖREBRO</t>
        </is>
      </c>
      <c r="G780" t="n">
        <v>7.7</v>
      </c>
      <c r="H780" t="n">
        <v>0</v>
      </c>
      <c r="I780" t="n">
        <v>0</v>
      </c>
      <c r="J780" t="n">
        <v>0</v>
      </c>
      <c r="K780" t="n">
        <v>0</v>
      </c>
      <c r="L780" t="n">
        <v>0</v>
      </c>
      <c r="M780" t="n">
        <v>0</v>
      </c>
      <c r="N780" t="n">
        <v>0</v>
      </c>
      <c r="O780" t="n">
        <v>0</v>
      </c>
      <c r="P780" t="n">
        <v>0</v>
      </c>
      <c r="Q780" t="n">
        <v>0</v>
      </c>
      <c r="R780" s="2" t="inlineStr"/>
    </row>
    <row r="781" ht="15" customHeight="1">
      <c r="A781" t="inlineStr">
        <is>
          <t>A 46514-2023</t>
        </is>
      </c>
      <c r="B781" s="1" t="n">
        <v>45197</v>
      </c>
      <c r="C781" s="1" t="n">
        <v>45513</v>
      </c>
      <c r="D781" t="inlineStr">
        <is>
          <t>ÖREBRO LÄN</t>
        </is>
      </c>
      <c r="E781" t="inlineStr">
        <is>
          <t>ÖREBRO</t>
        </is>
      </c>
      <c r="G781" t="n">
        <v>10.9</v>
      </c>
      <c r="H781" t="n">
        <v>0</v>
      </c>
      <c r="I781" t="n">
        <v>0</v>
      </c>
      <c r="J781" t="n">
        <v>0</v>
      </c>
      <c r="K781" t="n">
        <v>0</v>
      </c>
      <c r="L781" t="n">
        <v>0</v>
      </c>
      <c r="M781" t="n">
        <v>0</v>
      </c>
      <c r="N781" t="n">
        <v>0</v>
      </c>
      <c r="O781" t="n">
        <v>0</v>
      </c>
      <c r="P781" t="n">
        <v>0</v>
      </c>
      <c r="Q781" t="n">
        <v>0</v>
      </c>
      <c r="R781" s="2" t="inlineStr"/>
    </row>
    <row r="782" ht="15" customHeight="1">
      <c r="A782" t="inlineStr">
        <is>
          <t>A 46518-2023</t>
        </is>
      </c>
      <c r="B782" s="1" t="n">
        <v>45197</v>
      </c>
      <c r="C782" s="1" t="n">
        <v>45513</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47193-2023</t>
        </is>
      </c>
      <c r="B783" s="1" t="n">
        <v>45202</v>
      </c>
      <c r="C783" s="1" t="n">
        <v>45513</v>
      </c>
      <c r="D783" t="inlineStr">
        <is>
          <t>ÖREBRO LÄN</t>
        </is>
      </c>
      <c r="E783" t="inlineStr">
        <is>
          <t>ÖREBRO</t>
        </is>
      </c>
      <c r="G783" t="n">
        <v>2.4</v>
      </c>
      <c r="H783" t="n">
        <v>0</v>
      </c>
      <c r="I783" t="n">
        <v>0</v>
      </c>
      <c r="J783" t="n">
        <v>0</v>
      </c>
      <c r="K783" t="n">
        <v>0</v>
      </c>
      <c r="L783" t="n">
        <v>0</v>
      </c>
      <c r="M783" t="n">
        <v>0</v>
      </c>
      <c r="N783" t="n">
        <v>0</v>
      </c>
      <c r="O783" t="n">
        <v>0</v>
      </c>
      <c r="P783" t="n">
        <v>0</v>
      </c>
      <c r="Q783" t="n">
        <v>0</v>
      </c>
      <c r="R783" s="2" t="inlineStr"/>
    </row>
    <row r="784" ht="15" customHeight="1">
      <c r="A784" t="inlineStr">
        <is>
          <t>A 48350-2023</t>
        </is>
      </c>
      <c r="B784" s="1" t="n">
        <v>45205</v>
      </c>
      <c r="C784" s="1" t="n">
        <v>45513</v>
      </c>
      <c r="D784" t="inlineStr">
        <is>
          <t>ÖREBRO LÄN</t>
        </is>
      </c>
      <c r="E784" t="inlineStr">
        <is>
          <t>ÖREBRO</t>
        </is>
      </c>
      <c r="G784" t="n">
        <v>3.2</v>
      </c>
      <c r="H784" t="n">
        <v>0</v>
      </c>
      <c r="I784" t="n">
        <v>0</v>
      </c>
      <c r="J784" t="n">
        <v>0</v>
      </c>
      <c r="K784" t="n">
        <v>0</v>
      </c>
      <c r="L784" t="n">
        <v>0</v>
      </c>
      <c r="M784" t="n">
        <v>0</v>
      </c>
      <c r="N784" t="n">
        <v>0</v>
      </c>
      <c r="O784" t="n">
        <v>0</v>
      </c>
      <c r="P784" t="n">
        <v>0</v>
      </c>
      <c r="Q784" t="n">
        <v>0</v>
      </c>
      <c r="R784" s="2" t="inlineStr"/>
    </row>
    <row r="785" ht="15" customHeight="1">
      <c r="A785" t="inlineStr">
        <is>
          <t>A 49062-2023</t>
        </is>
      </c>
      <c r="B785" s="1" t="n">
        <v>45210</v>
      </c>
      <c r="C785" s="1" t="n">
        <v>45513</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49215-2023</t>
        </is>
      </c>
      <c r="B786" s="1" t="n">
        <v>45210</v>
      </c>
      <c r="C786" s="1" t="n">
        <v>45513</v>
      </c>
      <c r="D786" t="inlineStr">
        <is>
          <t>ÖREBRO LÄN</t>
        </is>
      </c>
      <c r="E786" t="inlineStr">
        <is>
          <t>ÖREBRO</t>
        </is>
      </c>
      <c r="F786" t="inlineStr">
        <is>
          <t>Övriga Aktiebolag</t>
        </is>
      </c>
      <c r="G786" t="n">
        <v>4.2</v>
      </c>
      <c r="H786" t="n">
        <v>0</v>
      </c>
      <c r="I786" t="n">
        <v>0</v>
      </c>
      <c r="J786" t="n">
        <v>0</v>
      </c>
      <c r="K786" t="n">
        <v>0</v>
      </c>
      <c r="L786" t="n">
        <v>0</v>
      </c>
      <c r="M786" t="n">
        <v>0</v>
      </c>
      <c r="N786" t="n">
        <v>0</v>
      </c>
      <c r="O786" t="n">
        <v>0</v>
      </c>
      <c r="P786" t="n">
        <v>0</v>
      </c>
      <c r="Q786" t="n">
        <v>0</v>
      </c>
      <c r="R786" s="2" t="inlineStr"/>
    </row>
    <row r="787" ht="15" customHeight="1">
      <c r="A787" t="inlineStr">
        <is>
          <t>A 51373-2023</t>
        </is>
      </c>
      <c r="B787" s="1" t="n">
        <v>45213</v>
      </c>
      <c r="C787" s="1" t="n">
        <v>45513</v>
      </c>
      <c r="D787" t="inlineStr">
        <is>
          <t>ÖREBRO LÄN</t>
        </is>
      </c>
      <c r="E787" t="inlineStr">
        <is>
          <t>ÖREBRO</t>
        </is>
      </c>
      <c r="G787" t="n">
        <v>5.9</v>
      </c>
      <c r="H787" t="n">
        <v>0</v>
      </c>
      <c r="I787" t="n">
        <v>0</v>
      </c>
      <c r="J787" t="n">
        <v>0</v>
      </c>
      <c r="K787" t="n">
        <v>0</v>
      </c>
      <c r="L787" t="n">
        <v>0</v>
      </c>
      <c r="M787" t="n">
        <v>0</v>
      </c>
      <c r="N787" t="n">
        <v>0</v>
      </c>
      <c r="O787" t="n">
        <v>0</v>
      </c>
      <c r="P787" t="n">
        <v>0</v>
      </c>
      <c r="Q787" t="n">
        <v>0</v>
      </c>
      <c r="R787" s="2" t="inlineStr"/>
    </row>
    <row r="788" ht="15" customHeight="1">
      <c r="A788" t="inlineStr">
        <is>
          <t>A 50450-2023</t>
        </is>
      </c>
      <c r="B788" s="1" t="n">
        <v>45216</v>
      </c>
      <c r="C788" s="1" t="n">
        <v>45513</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50446-2023</t>
        </is>
      </c>
      <c r="B789" s="1" t="n">
        <v>45216</v>
      </c>
      <c r="C789" s="1" t="n">
        <v>45513</v>
      </c>
      <c r="D789" t="inlineStr">
        <is>
          <t>ÖREBRO LÄN</t>
        </is>
      </c>
      <c r="E789" t="inlineStr">
        <is>
          <t>ÖREBRO</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51315-2023</t>
        </is>
      </c>
      <c r="B790" s="1" t="n">
        <v>45219</v>
      </c>
      <c r="C790" s="1" t="n">
        <v>45513</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51180-2023</t>
        </is>
      </c>
      <c r="B791" s="1" t="n">
        <v>45219</v>
      </c>
      <c r="C791" s="1" t="n">
        <v>45513</v>
      </c>
      <c r="D791" t="inlineStr">
        <is>
          <t>ÖREBRO LÄN</t>
        </is>
      </c>
      <c r="E791" t="inlineStr">
        <is>
          <t>ÖREBRO</t>
        </is>
      </c>
      <c r="G791" t="n">
        <v>6.5</v>
      </c>
      <c r="H791" t="n">
        <v>0</v>
      </c>
      <c r="I791" t="n">
        <v>0</v>
      </c>
      <c r="J791" t="n">
        <v>0</v>
      </c>
      <c r="K791" t="n">
        <v>0</v>
      </c>
      <c r="L791" t="n">
        <v>0</v>
      </c>
      <c r="M791" t="n">
        <v>0</v>
      </c>
      <c r="N791" t="n">
        <v>0</v>
      </c>
      <c r="O791" t="n">
        <v>0</v>
      </c>
      <c r="P791" t="n">
        <v>0</v>
      </c>
      <c r="Q791" t="n">
        <v>0</v>
      </c>
      <c r="R791" s="2" t="inlineStr"/>
    </row>
    <row r="792" ht="15" customHeight="1">
      <c r="A792" t="inlineStr">
        <is>
          <t>A 51297-2023</t>
        </is>
      </c>
      <c r="B792" s="1" t="n">
        <v>45219</v>
      </c>
      <c r="C792" s="1" t="n">
        <v>45513</v>
      </c>
      <c r="D792" t="inlineStr">
        <is>
          <t>ÖREBRO LÄN</t>
        </is>
      </c>
      <c r="E792" t="inlineStr">
        <is>
          <t>ÖREBRO</t>
        </is>
      </c>
      <c r="G792" t="n">
        <v>3.6</v>
      </c>
      <c r="H792" t="n">
        <v>0</v>
      </c>
      <c r="I792" t="n">
        <v>0</v>
      </c>
      <c r="J792" t="n">
        <v>0</v>
      </c>
      <c r="K792" t="n">
        <v>0</v>
      </c>
      <c r="L792" t="n">
        <v>0</v>
      </c>
      <c r="M792" t="n">
        <v>0</v>
      </c>
      <c r="N792" t="n">
        <v>0</v>
      </c>
      <c r="O792" t="n">
        <v>0</v>
      </c>
      <c r="P792" t="n">
        <v>0</v>
      </c>
      <c r="Q792" t="n">
        <v>0</v>
      </c>
      <c r="R792" s="2" t="inlineStr"/>
    </row>
    <row r="793" ht="15" customHeight="1">
      <c r="A793" t="inlineStr">
        <is>
          <t>A 51327-2023</t>
        </is>
      </c>
      <c r="B793" s="1" t="n">
        <v>45219</v>
      </c>
      <c r="C793" s="1" t="n">
        <v>45513</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51331-2023</t>
        </is>
      </c>
      <c r="B794" s="1" t="n">
        <v>45219</v>
      </c>
      <c r="C794" s="1" t="n">
        <v>45513</v>
      </c>
      <c r="D794" t="inlineStr">
        <is>
          <t>ÖREBRO LÄN</t>
        </is>
      </c>
      <c r="E794" t="inlineStr">
        <is>
          <t>ÖREBRO</t>
        </is>
      </c>
      <c r="F794" t="inlineStr">
        <is>
          <t>Kommuner</t>
        </is>
      </c>
      <c r="G794" t="n">
        <v>1.3</v>
      </c>
      <c r="H794" t="n">
        <v>0</v>
      </c>
      <c r="I794" t="n">
        <v>0</v>
      </c>
      <c r="J794" t="n">
        <v>0</v>
      </c>
      <c r="K794" t="n">
        <v>0</v>
      </c>
      <c r="L794" t="n">
        <v>0</v>
      </c>
      <c r="M794" t="n">
        <v>0</v>
      </c>
      <c r="N794" t="n">
        <v>0</v>
      </c>
      <c r="O794" t="n">
        <v>0</v>
      </c>
      <c r="P794" t="n">
        <v>0</v>
      </c>
      <c r="Q794" t="n">
        <v>0</v>
      </c>
      <c r="R794" s="2" t="inlineStr"/>
    </row>
    <row r="795" ht="15" customHeight="1">
      <c r="A795" t="inlineStr">
        <is>
          <t>A 51962-2023</t>
        </is>
      </c>
      <c r="B795" s="1" t="n">
        <v>45223</v>
      </c>
      <c r="C795" s="1" t="n">
        <v>45513</v>
      </c>
      <c r="D795" t="inlineStr">
        <is>
          <t>ÖREBRO LÄN</t>
        </is>
      </c>
      <c r="E795" t="inlineStr">
        <is>
          <t>ÖREBRO</t>
        </is>
      </c>
      <c r="G795" t="n">
        <v>1.4</v>
      </c>
      <c r="H795" t="n">
        <v>0</v>
      </c>
      <c r="I795" t="n">
        <v>0</v>
      </c>
      <c r="J795" t="n">
        <v>0</v>
      </c>
      <c r="K795" t="n">
        <v>0</v>
      </c>
      <c r="L795" t="n">
        <v>0</v>
      </c>
      <c r="M795" t="n">
        <v>0</v>
      </c>
      <c r="N795" t="n">
        <v>0</v>
      </c>
      <c r="O795" t="n">
        <v>0</v>
      </c>
      <c r="P795" t="n">
        <v>0</v>
      </c>
      <c r="Q795" t="n">
        <v>0</v>
      </c>
      <c r="R795" s="2" t="inlineStr"/>
    </row>
    <row r="796" ht="15" customHeight="1">
      <c r="A796" t="inlineStr">
        <is>
          <t>A 52005-2023</t>
        </is>
      </c>
      <c r="B796" s="1" t="n">
        <v>45223</v>
      </c>
      <c r="C796" s="1" t="n">
        <v>45513</v>
      </c>
      <c r="D796" t="inlineStr">
        <is>
          <t>ÖREBRO LÄN</t>
        </is>
      </c>
      <c r="E796" t="inlineStr">
        <is>
          <t>ÖREBRO</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52256-2023</t>
        </is>
      </c>
      <c r="B797" s="1" t="n">
        <v>45224</v>
      </c>
      <c r="C797" s="1" t="n">
        <v>45513</v>
      </c>
      <c r="D797" t="inlineStr">
        <is>
          <t>ÖREBRO LÄN</t>
        </is>
      </c>
      <c r="E797" t="inlineStr">
        <is>
          <t>ÖREBRO</t>
        </is>
      </c>
      <c r="G797" t="n">
        <v>2.8</v>
      </c>
      <c r="H797" t="n">
        <v>0</v>
      </c>
      <c r="I797" t="n">
        <v>0</v>
      </c>
      <c r="J797" t="n">
        <v>0</v>
      </c>
      <c r="K797" t="n">
        <v>0</v>
      </c>
      <c r="L797" t="n">
        <v>0</v>
      </c>
      <c r="M797" t="n">
        <v>0</v>
      </c>
      <c r="N797" t="n">
        <v>0</v>
      </c>
      <c r="O797" t="n">
        <v>0</v>
      </c>
      <c r="P797" t="n">
        <v>0</v>
      </c>
      <c r="Q797" t="n">
        <v>0</v>
      </c>
      <c r="R797" s="2" t="inlineStr"/>
    </row>
    <row r="798" ht="15" customHeight="1">
      <c r="A798" t="inlineStr">
        <is>
          <t>A 53234-2023</t>
        </is>
      </c>
      <c r="B798" s="1" t="n">
        <v>45229</v>
      </c>
      <c r="C798" s="1" t="n">
        <v>45513</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53143-2023</t>
        </is>
      </c>
      <c r="B799" s="1" t="n">
        <v>45229</v>
      </c>
      <c r="C799" s="1" t="n">
        <v>45513</v>
      </c>
      <c r="D799" t="inlineStr">
        <is>
          <t>ÖREBRO LÄN</t>
        </is>
      </c>
      <c r="E799" t="inlineStr">
        <is>
          <t>ÖREBRO</t>
        </is>
      </c>
      <c r="G799" t="n">
        <v>3.3</v>
      </c>
      <c r="H799" t="n">
        <v>0</v>
      </c>
      <c r="I799" t="n">
        <v>0</v>
      </c>
      <c r="J799" t="n">
        <v>0</v>
      </c>
      <c r="K799" t="n">
        <v>0</v>
      </c>
      <c r="L799" t="n">
        <v>0</v>
      </c>
      <c r="M799" t="n">
        <v>0</v>
      </c>
      <c r="N799" t="n">
        <v>0</v>
      </c>
      <c r="O799" t="n">
        <v>0</v>
      </c>
      <c r="P799" t="n">
        <v>0</v>
      </c>
      <c r="Q799" t="n">
        <v>0</v>
      </c>
      <c r="R799" s="2" t="inlineStr"/>
    </row>
    <row r="800" ht="15" customHeight="1">
      <c r="A800" t="inlineStr">
        <is>
          <t>A 53170-2023</t>
        </is>
      </c>
      <c r="B800" s="1" t="n">
        <v>45229</v>
      </c>
      <c r="C800" s="1" t="n">
        <v>45513</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54925-2023</t>
        </is>
      </c>
      <c r="B801" s="1" t="n">
        <v>45229</v>
      </c>
      <c r="C801" s="1" t="n">
        <v>45513</v>
      </c>
      <c r="D801" t="inlineStr">
        <is>
          <t>ÖREBRO LÄN</t>
        </is>
      </c>
      <c r="E801" t="inlineStr">
        <is>
          <t>ÖREBRO</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54917-2023</t>
        </is>
      </c>
      <c r="B802" s="1" t="n">
        <v>45229</v>
      </c>
      <c r="C802" s="1" t="n">
        <v>45513</v>
      </c>
      <c r="D802" t="inlineStr">
        <is>
          <t>ÖREBRO LÄN</t>
        </is>
      </c>
      <c r="E802" t="inlineStr">
        <is>
          <t>ÖREBRO</t>
        </is>
      </c>
      <c r="G802" t="n">
        <v>3.1</v>
      </c>
      <c r="H802" t="n">
        <v>0</v>
      </c>
      <c r="I802" t="n">
        <v>0</v>
      </c>
      <c r="J802" t="n">
        <v>0</v>
      </c>
      <c r="K802" t="n">
        <v>0</v>
      </c>
      <c r="L802" t="n">
        <v>0</v>
      </c>
      <c r="M802" t="n">
        <v>0</v>
      </c>
      <c r="N802" t="n">
        <v>0</v>
      </c>
      <c r="O802" t="n">
        <v>0</v>
      </c>
      <c r="P802" t="n">
        <v>0</v>
      </c>
      <c r="Q802" t="n">
        <v>0</v>
      </c>
      <c r="R802" s="2" t="inlineStr"/>
    </row>
    <row r="803" ht="15" customHeight="1">
      <c r="A803" t="inlineStr">
        <is>
          <t>A 53598-2023</t>
        </is>
      </c>
      <c r="B803" s="1" t="n">
        <v>45230</v>
      </c>
      <c r="C803" s="1" t="n">
        <v>45513</v>
      </c>
      <c r="D803" t="inlineStr">
        <is>
          <t>ÖREBRO LÄN</t>
        </is>
      </c>
      <c r="E803" t="inlineStr">
        <is>
          <t>ÖREBRO</t>
        </is>
      </c>
      <c r="F803" t="inlineStr">
        <is>
          <t>Övriga Aktiebolag</t>
        </is>
      </c>
      <c r="G803" t="n">
        <v>0.8</v>
      </c>
      <c r="H803" t="n">
        <v>0</v>
      </c>
      <c r="I803" t="n">
        <v>0</v>
      </c>
      <c r="J803" t="n">
        <v>0</v>
      </c>
      <c r="K803" t="n">
        <v>0</v>
      </c>
      <c r="L803" t="n">
        <v>0</v>
      </c>
      <c r="M803" t="n">
        <v>0</v>
      </c>
      <c r="N803" t="n">
        <v>0</v>
      </c>
      <c r="O803" t="n">
        <v>0</v>
      </c>
      <c r="P803" t="n">
        <v>0</v>
      </c>
      <c r="Q803" t="n">
        <v>0</v>
      </c>
      <c r="R803" s="2" t="inlineStr"/>
    </row>
    <row r="804" ht="15" customHeight="1">
      <c r="A804" t="inlineStr">
        <is>
          <t>A 53802-2023</t>
        </is>
      </c>
      <c r="B804" s="1" t="n">
        <v>45230</v>
      </c>
      <c r="C804" s="1" t="n">
        <v>45513</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53558-2023</t>
        </is>
      </c>
      <c r="B805" s="1" t="n">
        <v>45230</v>
      </c>
      <c r="C805" s="1" t="n">
        <v>45513</v>
      </c>
      <c r="D805" t="inlineStr">
        <is>
          <t>ÖREBRO LÄN</t>
        </is>
      </c>
      <c r="E805" t="inlineStr">
        <is>
          <t>ÖREBRO</t>
        </is>
      </c>
      <c r="F805" t="inlineStr">
        <is>
          <t>Övriga Aktiebolag</t>
        </is>
      </c>
      <c r="G805" t="n">
        <v>4.7</v>
      </c>
      <c r="H805" t="n">
        <v>0</v>
      </c>
      <c r="I805" t="n">
        <v>0</v>
      </c>
      <c r="J805" t="n">
        <v>0</v>
      </c>
      <c r="K805" t="n">
        <v>0</v>
      </c>
      <c r="L805" t="n">
        <v>0</v>
      </c>
      <c r="M805" t="n">
        <v>0</v>
      </c>
      <c r="N805" t="n">
        <v>0</v>
      </c>
      <c r="O805" t="n">
        <v>0</v>
      </c>
      <c r="P805" t="n">
        <v>0</v>
      </c>
      <c r="Q805" t="n">
        <v>0</v>
      </c>
      <c r="R805" s="2" t="inlineStr"/>
    </row>
    <row r="806" ht="15" customHeight="1">
      <c r="A806" t="inlineStr">
        <is>
          <t>A 54561-2023</t>
        </is>
      </c>
      <c r="B806" s="1" t="n">
        <v>45233</v>
      </c>
      <c r="C806" s="1" t="n">
        <v>45513</v>
      </c>
      <c r="D806" t="inlineStr">
        <is>
          <t>ÖREBRO LÄN</t>
        </is>
      </c>
      <c r="E806" t="inlineStr">
        <is>
          <t>ÖREBRO</t>
        </is>
      </c>
      <c r="G806" t="n">
        <v>0.8</v>
      </c>
      <c r="H806" t="n">
        <v>0</v>
      </c>
      <c r="I806" t="n">
        <v>0</v>
      </c>
      <c r="J806" t="n">
        <v>0</v>
      </c>
      <c r="K806" t="n">
        <v>0</v>
      </c>
      <c r="L806" t="n">
        <v>0</v>
      </c>
      <c r="M806" t="n">
        <v>0</v>
      </c>
      <c r="N806" t="n">
        <v>0</v>
      </c>
      <c r="O806" t="n">
        <v>0</v>
      </c>
      <c r="P806" t="n">
        <v>0</v>
      </c>
      <c r="Q806" t="n">
        <v>0</v>
      </c>
      <c r="R806" s="2" t="inlineStr"/>
    </row>
    <row r="807" ht="15" customHeight="1">
      <c r="A807" t="inlineStr">
        <is>
          <t>A 54505-2023</t>
        </is>
      </c>
      <c r="B807" s="1" t="n">
        <v>45233</v>
      </c>
      <c r="C807" s="1" t="n">
        <v>45513</v>
      </c>
      <c r="D807" t="inlineStr">
        <is>
          <t>ÖREBRO LÄN</t>
        </is>
      </c>
      <c r="E807" t="inlineStr">
        <is>
          <t>ÖREBRO</t>
        </is>
      </c>
      <c r="F807" t="inlineStr">
        <is>
          <t>Övriga Aktiebolag</t>
        </is>
      </c>
      <c r="G807" t="n">
        <v>7.2</v>
      </c>
      <c r="H807" t="n">
        <v>0</v>
      </c>
      <c r="I807" t="n">
        <v>0</v>
      </c>
      <c r="J807" t="n">
        <v>0</v>
      </c>
      <c r="K807" t="n">
        <v>0</v>
      </c>
      <c r="L807" t="n">
        <v>0</v>
      </c>
      <c r="M807" t="n">
        <v>0</v>
      </c>
      <c r="N807" t="n">
        <v>0</v>
      </c>
      <c r="O807" t="n">
        <v>0</v>
      </c>
      <c r="P807" t="n">
        <v>0</v>
      </c>
      <c r="Q807" t="n">
        <v>0</v>
      </c>
      <c r="R807" s="2" t="inlineStr"/>
    </row>
    <row r="808" ht="15" customHeight="1">
      <c r="A808" t="inlineStr">
        <is>
          <t>A 54558-2023</t>
        </is>
      </c>
      <c r="B808" s="1" t="n">
        <v>45233</v>
      </c>
      <c r="C808" s="1" t="n">
        <v>45513</v>
      </c>
      <c r="D808" t="inlineStr">
        <is>
          <t>ÖREBRO LÄN</t>
        </is>
      </c>
      <c r="E808" t="inlineStr">
        <is>
          <t>ÖREBRO</t>
        </is>
      </c>
      <c r="G808" t="n">
        <v>0.9</v>
      </c>
      <c r="H808" t="n">
        <v>0</v>
      </c>
      <c r="I808" t="n">
        <v>0</v>
      </c>
      <c r="J808" t="n">
        <v>0</v>
      </c>
      <c r="K808" t="n">
        <v>0</v>
      </c>
      <c r="L808" t="n">
        <v>0</v>
      </c>
      <c r="M808" t="n">
        <v>0</v>
      </c>
      <c r="N808" t="n">
        <v>0</v>
      </c>
      <c r="O808" t="n">
        <v>0</v>
      </c>
      <c r="P808" t="n">
        <v>0</v>
      </c>
      <c r="Q808" t="n">
        <v>0</v>
      </c>
      <c r="R808" s="2" t="inlineStr"/>
    </row>
    <row r="809" ht="15" customHeight="1">
      <c r="A809" t="inlineStr">
        <is>
          <t>A 54678-2023</t>
        </is>
      </c>
      <c r="B809" s="1" t="n">
        <v>45235</v>
      </c>
      <c r="C809" s="1" t="n">
        <v>45513</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54865-2023</t>
        </is>
      </c>
      <c r="B810" s="1" t="n">
        <v>45236</v>
      </c>
      <c r="C810" s="1" t="n">
        <v>45513</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55008-2023</t>
        </is>
      </c>
      <c r="B811" s="1" t="n">
        <v>45236</v>
      </c>
      <c r="C811" s="1" t="n">
        <v>45513</v>
      </c>
      <c r="D811" t="inlineStr">
        <is>
          <t>ÖREBRO LÄN</t>
        </is>
      </c>
      <c r="E811" t="inlineStr">
        <is>
          <t>ÖREBRO</t>
        </is>
      </c>
      <c r="G811" t="n">
        <v>4</v>
      </c>
      <c r="H811" t="n">
        <v>0</v>
      </c>
      <c r="I811" t="n">
        <v>0</v>
      </c>
      <c r="J811" t="n">
        <v>0</v>
      </c>
      <c r="K811" t="n">
        <v>0</v>
      </c>
      <c r="L811" t="n">
        <v>0</v>
      </c>
      <c r="M811" t="n">
        <v>0</v>
      </c>
      <c r="N811" t="n">
        <v>0</v>
      </c>
      <c r="O811" t="n">
        <v>0</v>
      </c>
      <c r="P811" t="n">
        <v>0</v>
      </c>
      <c r="Q811" t="n">
        <v>0</v>
      </c>
      <c r="R811" s="2" t="inlineStr"/>
    </row>
    <row r="812" ht="15" customHeight="1">
      <c r="A812" t="inlineStr">
        <is>
          <t>A 55472-2023</t>
        </is>
      </c>
      <c r="B812" s="1" t="n">
        <v>45238</v>
      </c>
      <c r="C812" s="1" t="n">
        <v>45513</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55692-2023</t>
        </is>
      </c>
      <c r="B813" s="1" t="n">
        <v>45239</v>
      </c>
      <c r="C813" s="1" t="n">
        <v>45513</v>
      </c>
      <c r="D813" t="inlineStr">
        <is>
          <t>ÖREBRO LÄN</t>
        </is>
      </c>
      <c r="E813" t="inlineStr">
        <is>
          <t>ÖREBRO</t>
        </is>
      </c>
      <c r="F813" t="inlineStr">
        <is>
          <t>Övriga Aktiebolag</t>
        </is>
      </c>
      <c r="G813" t="n">
        <v>0.4</v>
      </c>
      <c r="H813" t="n">
        <v>0</v>
      </c>
      <c r="I813" t="n">
        <v>0</v>
      </c>
      <c r="J813" t="n">
        <v>0</v>
      </c>
      <c r="K813" t="n">
        <v>0</v>
      </c>
      <c r="L813" t="n">
        <v>0</v>
      </c>
      <c r="M813" t="n">
        <v>0</v>
      </c>
      <c r="N813" t="n">
        <v>0</v>
      </c>
      <c r="O813" t="n">
        <v>0</v>
      </c>
      <c r="P813" t="n">
        <v>0</v>
      </c>
      <c r="Q813" t="n">
        <v>0</v>
      </c>
      <c r="R813" s="2" t="inlineStr"/>
    </row>
    <row r="814" ht="15" customHeight="1">
      <c r="A814" t="inlineStr">
        <is>
          <t>A 55745-2023</t>
        </is>
      </c>
      <c r="B814" s="1" t="n">
        <v>45239</v>
      </c>
      <c r="C814" s="1" t="n">
        <v>45513</v>
      </c>
      <c r="D814" t="inlineStr">
        <is>
          <t>ÖREBRO LÄN</t>
        </is>
      </c>
      <c r="E814" t="inlineStr">
        <is>
          <t>ÖREBRO</t>
        </is>
      </c>
      <c r="G814" t="n">
        <v>13.3</v>
      </c>
      <c r="H814" t="n">
        <v>0</v>
      </c>
      <c r="I814" t="n">
        <v>0</v>
      </c>
      <c r="J814" t="n">
        <v>0</v>
      </c>
      <c r="K814" t="n">
        <v>0</v>
      </c>
      <c r="L814" t="n">
        <v>0</v>
      </c>
      <c r="M814" t="n">
        <v>0</v>
      </c>
      <c r="N814" t="n">
        <v>0</v>
      </c>
      <c r="O814" t="n">
        <v>0</v>
      </c>
      <c r="P814" t="n">
        <v>0</v>
      </c>
      <c r="Q814" t="n">
        <v>0</v>
      </c>
      <c r="R814" s="2" t="inlineStr"/>
    </row>
    <row r="815" ht="15" customHeight="1">
      <c r="A815" t="inlineStr">
        <is>
          <t>A 57312-2023</t>
        </is>
      </c>
      <c r="B815" s="1" t="n">
        <v>45245</v>
      </c>
      <c r="C815" s="1" t="n">
        <v>45513</v>
      </c>
      <c r="D815" t="inlineStr">
        <is>
          <t>ÖREBRO LÄN</t>
        </is>
      </c>
      <c r="E815" t="inlineStr">
        <is>
          <t>ÖREBRO</t>
        </is>
      </c>
      <c r="G815" t="n">
        <v>12.5</v>
      </c>
      <c r="H815" t="n">
        <v>0</v>
      </c>
      <c r="I815" t="n">
        <v>0</v>
      </c>
      <c r="J815" t="n">
        <v>0</v>
      </c>
      <c r="K815" t="n">
        <v>0</v>
      </c>
      <c r="L815" t="n">
        <v>0</v>
      </c>
      <c r="M815" t="n">
        <v>0</v>
      </c>
      <c r="N815" t="n">
        <v>0</v>
      </c>
      <c r="O815" t="n">
        <v>0</v>
      </c>
      <c r="P815" t="n">
        <v>0</v>
      </c>
      <c r="Q815" t="n">
        <v>0</v>
      </c>
      <c r="R815" s="2" t="inlineStr"/>
    </row>
    <row r="816" ht="15" customHeight="1">
      <c r="A816" t="inlineStr">
        <is>
          <t>A 57604-2023</t>
        </is>
      </c>
      <c r="B816" s="1" t="n">
        <v>45246</v>
      </c>
      <c r="C816" s="1" t="n">
        <v>45513</v>
      </c>
      <c r="D816" t="inlineStr">
        <is>
          <t>ÖREBRO LÄN</t>
        </is>
      </c>
      <c r="E816" t="inlineStr">
        <is>
          <t>ÖREBRO</t>
        </is>
      </c>
      <c r="G816" t="n">
        <v>3.7</v>
      </c>
      <c r="H816" t="n">
        <v>0</v>
      </c>
      <c r="I816" t="n">
        <v>0</v>
      </c>
      <c r="J816" t="n">
        <v>0</v>
      </c>
      <c r="K816" t="n">
        <v>0</v>
      </c>
      <c r="L816" t="n">
        <v>0</v>
      </c>
      <c r="M816" t="n">
        <v>0</v>
      </c>
      <c r="N816" t="n">
        <v>0</v>
      </c>
      <c r="O816" t="n">
        <v>0</v>
      </c>
      <c r="P816" t="n">
        <v>0</v>
      </c>
      <c r="Q816" t="n">
        <v>0</v>
      </c>
      <c r="R816" s="2" t="inlineStr"/>
    </row>
    <row r="817" ht="15" customHeight="1">
      <c r="A817" t="inlineStr">
        <is>
          <t>A 57485-2023</t>
        </is>
      </c>
      <c r="B817" s="1" t="n">
        <v>45246</v>
      </c>
      <c r="C817" s="1" t="n">
        <v>45513</v>
      </c>
      <c r="D817" t="inlineStr">
        <is>
          <t>ÖREBRO LÄN</t>
        </is>
      </c>
      <c r="E817" t="inlineStr">
        <is>
          <t>ÖREBRO</t>
        </is>
      </c>
      <c r="G817" t="n">
        <v>0.9</v>
      </c>
      <c r="H817" t="n">
        <v>0</v>
      </c>
      <c r="I817" t="n">
        <v>0</v>
      </c>
      <c r="J817" t="n">
        <v>0</v>
      </c>
      <c r="K817" t="n">
        <v>0</v>
      </c>
      <c r="L817" t="n">
        <v>0</v>
      </c>
      <c r="M817" t="n">
        <v>0</v>
      </c>
      <c r="N817" t="n">
        <v>0</v>
      </c>
      <c r="O817" t="n">
        <v>0</v>
      </c>
      <c r="P817" t="n">
        <v>0</v>
      </c>
      <c r="Q817" t="n">
        <v>0</v>
      </c>
      <c r="R817" s="2" t="inlineStr"/>
    </row>
    <row r="818" ht="15" customHeight="1">
      <c r="A818" t="inlineStr">
        <is>
          <t>A 58032-2023</t>
        </is>
      </c>
      <c r="B818" s="1" t="n">
        <v>45247</v>
      </c>
      <c r="C818" s="1" t="n">
        <v>45513</v>
      </c>
      <c r="D818" t="inlineStr">
        <is>
          <t>ÖREBRO LÄN</t>
        </is>
      </c>
      <c r="E818" t="inlineStr">
        <is>
          <t>ÖREBRO</t>
        </is>
      </c>
      <c r="G818" t="n">
        <v>1.1</v>
      </c>
      <c r="H818" t="n">
        <v>0</v>
      </c>
      <c r="I818" t="n">
        <v>0</v>
      </c>
      <c r="J818" t="n">
        <v>0</v>
      </c>
      <c r="K818" t="n">
        <v>0</v>
      </c>
      <c r="L818" t="n">
        <v>0</v>
      </c>
      <c r="M818" t="n">
        <v>0</v>
      </c>
      <c r="N818" t="n">
        <v>0</v>
      </c>
      <c r="O818" t="n">
        <v>0</v>
      </c>
      <c r="P818" t="n">
        <v>0</v>
      </c>
      <c r="Q818" t="n">
        <v>0</v>
      </c>
      <c r="R818" s="2" t="inlineStr"/>
    </row>
    <row r="819" ht="15" customHeight="1">
      <c r="A819" t="inlineStr">
        <is>
          <t>A 58035-2023</t>
        </is>
      </c>
      <c r="B819" s="1" t="n">
        <v>45247</v>
      </c>
      <c r="C819" s="1" t="n">
        <v>45513</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58516-2023</t>
        </is>
      </c>
      <c r="B820" s="1" t="n">
        <v>45251</v>
      </c>
      <c r="C820" s="1" t="n">
        <v>45513</v>
      </c>
      <c r="D820" t="inlineStr">
        <is>
          <t>ÖREBRO LÄN</t>
        </is>
      </c>
      <c r="E820" t="inlineStr">
        <is>
          <t>ÖREBRO</t>
        </is>
      </c>
      <c r="G820" t="n">
        <v>1.4</v>
      </c>
      <c r="H820" t="n">
        <v>0</v>
      </c>
      <c r="I820" t="n">
        <v>0</v>
      </c>
      <c r="J820" t="n">
        <v>0</v>
      </c>
      <c r="K820" t="n">
        <v>0</v>
      </c>
      <c r="L820" t="n">
        <v>0</v>
      </c>
      <c r="M820" t="n">
        <v>0</v>
      </c>
      <c r="N820" t="n">
        <v>0</v>
      </c>
      <c r="O820" t="n">
        <v>0</v>
      </c>
      <c r="P820" t="n">
        <v>0</v>
      </c>
      <c r="Q820" t="n">
        <v>0</v>
      </c>
      <c r="R820" s="2" t="inlineStr"/>
    </row>
    <row r="821" ht="15" customHeight="1">
      <c r="A821" t="inlineStr">
        <is>
          <t>A 58504-2023</t>
        </is>
      </c>
      <c r="B821" s="1" t="n">
        <v>45251</v>
      </c>
      <c r="C821" s="1" t="n">
        <v>45513</v>
      </c>
      <c r="D821" t="inlineStr">
        <is>
          <t>ÖREBRO LÄN</t>
        </is>
      </c>
      <c r="E821" t="inlineStr">
        <is>
          <t>ÖREBRO</t>
        </is>
      </c>
      <c r="G821" t="n">
        <v>2.1</v>
      </c>
      <c r="H821" t="n">
        <v>0</v>
      </c>
      <c r="I821" t="n">
        <v>0</v>
      </c>
      <c r="J821" t="n">
        <v>0</v>
      </c>
      <c r="K821" t="n">
        <v>0</v>
      </c>
      <c r="L821" t="n">
        <v>0</v>
      </c>
      <c r="M821" t="n">
        <v>0</v>
      </c>
      <c r="N821" t="n">
        <v>0</v>
      </c>
      <c r="O821" t="n">
        <v>0</v>
      </c>
      <c r="P821" t="n">
        <v>0</v>
      </c>
      <c r="Q821" t="n">
        <v>0</v>
      </c>
      <c r="R821" s="2" t="inlineStr"/>
    </row>
    <row r="822" ht="15" customHeight="1">
      <c r="A822" t="inlineStr">
        <is>
          <t>A 58644-2023</t>
        </is>
      </c>
      <c r="B822" s="1" t="n">
        <v>45251</v>
      </c>
      <c r="C822" s="1" t="n">
        <v>45513</v>
      </c>
      <c r="D822" t="inlineStr">
        <is>
          <t>ÖREBRO LÄN</t>
        </is>
      </c>
      <c r="E822" t="inlineStr">
        <is>
          <t>ÖREBRO</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58682-2023</t>
        </is>
      </c>
      <c r="B823" s="1" t="n">
        <v>45251</v>
      </c>
      <c r="C823" s="1" t="n">
        <v>45513</v>
      </c>
      <c r="D823" t="inlineStr">
        <is>
          <t>ÖREBRO LÄN</t>
        </is>
      </c>
      <c r="E823" t="inlineStr">
        <is>
          <t>ÖREBRO</t>
        </is>
      </c>
      <c r="G823" t="n">
        <v>1.3</v>
      </c>
      <c r="H823" t="n">
        <v>0</v>
      </c>
      <c r="I823" t="n">
        <v>0</v>
      </c>
      <c r="J823" t="n">
        <v>0</v>
      </c>
      <c r="K823" t="n">
        <v>0</v>
      </c>
      <c r="L823" t="n">
        <v>0</v>
      </c>
      <c r="M823" t="n">
        <v>0</v>
      </c>
      <c r="N823" t="n">
        <v>0</v>
      </c>
      <c r="O823" t="n">
        <v>0</v>
      </c>
      <c r="P823" t="n">
        <v>0</v>
      </c>
      <c r="Q823" t="n">
        <v>0</v>
      </c>
      <c r="R823" s="2" t="inlineStr"/>
    </row>
    <row r="824" ht="15" customHeight="1">
      <c r="A824" t="inlineStr">
        <is>
          <t>A 58684-2023</t>
        </is>
      </c>
      <c r="B824" s="1" t="n">
        <v>45251</v>
      </c>
      <c r="C824" s="1" t="n">
        <v>45513</v>
      </c>
      <c r="D824" t="inlineStr">
        <is>
          <t>ÖREBRO LÄN</t>
        </is>
      </c>
      <c r="E824" t="inlineStr">
        <is>
          <t>ÖREBRO</t>
        </is>
      </c>
      <c r="G824" t="n">
        <v>1.2</v>
      </c>
      <c r="H824" t="n">
        <v>0</v>
      </c>
      <c r="I824" t="n">
        <v>0</v>
      </c>
      <c r="J824" t="n">
        <v>0</v>
      </c>
      <c r="K824" t="n">
        <v>0</v>
      </c>
      <c r="L824" t="n">
        <v>0</v>
      </c>
      <c r="M824" t="n">
        <v>0</v>
      </c>
      <c r="N824" t="n">
        <v>0</v>
      </c>
      <c r="O824" t="n">
        <v>0</v>
      </c>
      <c r="P824" t="n">
        <v>0</v>
      </c>
      <c r="Q824" t="n">
        <v>0</v>
      </c>
      <c r="R824" s="2" t="inlineStr"/>
    </row>
    <row r="825" ht="15" customHeight="1">
      <c r="A825" t="inlineStr">
        <is>
          <t>A 58889-2023</t>
        </is>
      </c>
      <c r="B825" s="1" t="n">
        <v>45252</v>
      </c>
      <c r="C825" s="1" t="n">
        <v>45513</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59037-2023</t>
        </is>
      </c>
      <c r="B826" s="1" t="n">
        <v>45252</v>
      </c>
      <c r="C826" s="1" t="n">
        <v>45513</v>
      </c>
      <c r="D826" t="inlineStr">
        <is>
          <t>ÖREBRO LÄN</t>
        </is>
      </c>
      <c r="E826" t="inlineStr">
        <is>
          <t>ÖREBRO</t>
        </is>
      </c>
      <c r="G826" t="n">
        <v>2.7</v>
      </c>
      <c r="H826" t="n">
        <v>0</v>
      </c>
      <c r="I826" t="n">
        <v>0</v>
      </c>
      <c r="J826" t="n">
        <v>0</v>
      </c>
      <c r="K826" t="n">
        <v>0</v>
      </c>
      <c r="L826" t="n">
        <v>0</v>
      </c>
      <c r="M826" t="n">
        <v>0</v>
      </c>
      <c r="N826" t="n">
        <v>0</v>
      </c>
      <c r="O826" t="n">
        <v>0</v>
      </c>
      <c r="P826" t="n">
        <v>0</v>
      </c>
      <c r="Q826" t="n">
        <v>0</v>
      </c>
      <c r="R826" s="2" t="inlineStr"/>
    </row>
    <row r="827" ht="15" customHeight="1">
      <c r="A827" t="inlineStr">
        <is>
          <t>A 59623-2023</t>
        </is>
      </c>
      <c r="B827" s="1" t="n">
        <v>45254</v>
      </c>
      <c r="C827" s="1" t="n">
        <v>45513</v>
      </c>
      <c r="D827" t="inlineStr">
        <is>
          <t>ÖREBRO LÄN</t>
        </is>
      </c>
      <c r="E827" t="inlineStr">
        <is>
          <t>ÖREBRO</t>
        </is>
      </c>
      <c r="G827" t="n">
        <v>4.6</v>
      </c>
      <c r="H827" t="n">
        <v>0</v>
      </c>
      <c r="I827" t="n">
        <v>0</v>
      </c>
      <c r="J827" t="n">
        <v>0</v>
      </c>
      <c r="K827" t="n">
        <v>0</v>
      </c>
      <c r="L827" t="n">
        <v>0</v>
      </c>
      <c r="M827" t="n">
        <v>0</v>
      </c>
      <c r="N827" t="n">
        <v>0</v>
      </c>
      <c r="O827" t="n">
        <v>0</v>
      </c>
      <c r="P827" t="n">
        <v>0</v>
      </c>
      <c r="Q827" t="n">
        <v>0</v>
      </c>
      <c r="R827" s="2" t="inlineStr"/>
    </row>
    <row r="828" ht="15" customHeight="1">
      <c r="A828" t="inlineStr">
        <is>
          <t>A 59736-2023</t>
        </is>
      </c>
      <c r="B828" s="1" t="n">
        <v>45257</v>
      </c>
      <c r="C828" s="1" t="n">
        <v>45513</v>
      </c>
      <c r="D828" t="inlineStr">
        <is>
          <t>ÖREBRO LÄN</t>
        </is>
      </c>
      <c r="E828" t="inlineStr">
        <is>
          <t>ÖREBRO</t>
        </is>
      </c>
      <c r="G828" t="n">
        <v>1.1</v>
      </c>
      <c r="H828" t="n">
        <v>0</v>
      </c>
      <c r="I828" t="n">
        <v>0</v>
      </c>
      <c r="J828" t="n">
        <v>0</v>
      </c>
      <c r="K828" t="n">
        <v>0</v>
      </c>
      <c r="L828" t="n">
        <v>0</v>
      </c>
      <c r="M828" t="n">
        <v>0</v>
      </c>
      <c r="N828" t="n">
        <v>0</v>
      </c>
      <c r="O828" t="n">
        <v>0</v>
      </c>
      <c r="P828" t="n">
        <v>0</v>
      </c>
      <c r="Q828" t="n">
        <v>0</v>
      </c>
      <c r="R828" s="2" t="inlineStr"/>
    </row>
    <row r="829" ht="15" customHeight="1">
      <c r="A829" t="inlineStr">
        <is>
          <t>A 59749-2023</t>
        </is>
      </c>
      <c r="B829" s="1" t="n">
        <v>45257</v>
      </c>
      <c r="C829" s="1" t="n">
        <v>45513</v>
      </c>
      <c r="D829" t="inlineStr">
        <is>
          <t>ÖREBRO LÄN</t>
        </is>
      </c>
      <c r="E829" t="inlineStr">
        <is>
          <t>ÖREBRO</t>
        </is>
      </c>
      <c r="G829" t="n">
        <v>5</v>
      </c>
      <c r="H829" t="n">
        <v>0</v>
      </c>
      <c r="I829" t="n">
        <v>0</v>
      </c>
      <c r="J829" t="n">
        <v>0</v>
      </c>
      <c r="K829" t="n">
        <v>0</v>
      </c>
      <c r="L829" t="n">
        <v>0</v>
      </c>
      <c r="M829" t="n">
        <v>0</v>
      </c>
      <c r="N829" t="n">
        <v>0</v>
      </c>
      <c r="O829" t="n">
        <v>0</v>
      </c>
      <c r="P829" t="n">
        <v>0</v>
      </c>
      <c r="Q829" t="n">
        <v>0</v>
      </c>
      <c r="R829" s="2" t="inlineStr"/>
    </row>
    <row r="830" ht="15" customHeight="1">
      <c r="A830" t="inlineStr">
        <is>
          <t>A 59873-2023</t>
        </is>
      </c>
      <c r="B830" s="1" t="n">
        <v>45257</v>
      </c>
      <c r="C830" s="1" t="n">
        <v>45513</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59757-2023</t>
        </is>
      </c>
      <c r="B831" s="1" t="n">
        <v>45257</v>
      </c>
      <c r="C831" s="1" t="n">
        <v>45513</v>
      </c>
      <c r="D831" t="inlineStr">
        <is>
          <t>ÖREBRO LÄN</t>
        </is>
      </c>
      <c r="E831" t="inlineStr">
        <is>
          <t>ÖREBRO</t>
        </is>
      </c>
      <c r="G831" t="n">
        <v>1</v>
      </c>
      <c r="H831" t="n">
        <v>0</v>
      </c>
      <c r="I831" t="n">
        <v>0</v>
      </c>
      <c r="J831" t="n">
        <v>0</v>
      </c>
      <c r="K831" t="n">
        <v>0</v>
      </c>
      <c r="L831" t="n">
        <v>0</v>
      </c>
      <c r="M831" t="n">
        <v>0</v>
      </c>
      <c r="N831" t="n">
        <v>0</v>
      </c>
      <c r="O831" t="n">
        <v>0</v>
      </c>
      <c r="P831" t="n">
        <v>0</v>
      </c>
      <c r="Q831" t="n">
        <v>0</v>
      </c>
      <c r="R831" s="2" t="inlineStr"/>
    </row>
    <row r="832" ht="15" customHeight="1">
      <c r="A832" t="inlineStr">
        <is>
          <t>A 60289-2023</t>
        </is>
      </c>
      <c r="B832" s="1" t="n">
        <v>45257</v>
      </c>
      <c r="C832" s="1" t="n">
        <v>45513</v>
      </c>
      <c r="D832" t="inlineStr">
        <is>
          <t>ÖREBRO LÄN</t>
        </is>
      </c>
      <c r="E832" t="inlineStr">
        <is>
          <t>ÖREBRO</t>
        </is>
      </c>
      <c r="G832" t="n">
        <v>10.9</v>
      </c>
      <c r="H832" t="n">
        <v>0</v>
      </c>
      <c r="I832" t="n">
        <v>0</v>
      </c>
      <c r="J832" t="n">
        <v>0</v>
      </c>
      <c r="K832" t="n">
        <v>0</v>
      </c>
      <c r="L832" t="n">
        <v>0</v>
      </c>
      <c r="M832" t="n">
        <v>0</v>
      </c>
      <c r="N832" t="n">
        <v>0</v>
      </c>
      <c r="O832" t="n">
        <v>0</v>
      </c>
      <c r="P832" t="n">
        <v>0</v>
      </c>
      <c r="Q832" t="n">
        <v>0</v>
      </c>
      <c r="R832" s="2" t="inlineStr"/>
    </row>
    <row r="833" ht="15" customHeight="1">
      <c r="A833" t="inlineStr">
        <is>
          <t>A 60126-2023</t>
        </is>
      </c>
      <c r="B833" s="1" t="n">
        <v>45258</v>
      </c>
      <c r="C833" s="1" t="n">
        <v>45513</v>
      </c>
      <c r="D833" t="inlineStr">
        <is>
          <t>ÖREBRO LÄN</t>
        </is>
      </c>
      <c r="E833" t="inlineStr">
        <is>
          <t>ÖREBRO</t>
        </is>
      </c>
      <c r="G833" t="n">
        <v>1.5</v>
      </c>
      <c r="H833" t="n">
        <v>0</v>
      </c>
      <c r="I833" t="n">
        <v>0</v>
      </c>
      <c r="J833" t="n">
        <v>0</v>
      </c>
      <c r="K833" t="n">
        <v>0</v>
      </c>
      <c r="L833" t="n">
        <v>0</v>
      </c>
      <c r="M833" t="n">
        <v>0</v>
      </c>
      <c r="N833" t="n">
        <v>0</v>
      </c>
      <c r="O833" t="n">
        <v>0</v>
      </c>
      <c r="P833" t="n">
        <v>0</v>
      </c>
      <c r="Q833" t="n">
        <v>0</v>
      </c>
      <c r="R833" s="2" t="inlineStr"/>
    </row>
    <row r="834" ht="15" customHeight="1">
      <c r="A834" t="inlineStr">
        <is>
          <t>A 60059-2023</t>
        </is>
      </c>
      <c r="B834" s="1" t="n">
        <v>45258</v>
      </c>
      <c r="C834" s="1" t="n">
        <v>45513</v>
      </c>
      <c r="D834" t="inlineStr">
        <is>
          <t>ÖREBRO LÄN</t>
        </is>
      </c>
      <c r="E834" t="inlineStr">
        <is>
          <t>ÖREBRO</t>
        </is>
      </c>
      <c r="G834" t="n">
        <v>4</v>
      </c>
      <c r="H834" t="n">
        <v>0</v>
      </c>
      <c r="I834" t="n">
        <v>0</v>
      </c>
      <c r="J834" t="n">
        <v>0</v>
      </c>
      <c r="K834" t="n">
        <v>0</v>
      </c>
      <c r="L834" t="n">
        <v>0</v>
      </c>
      <c r="M834" t="n">
        <v>0</v>
      </c>
      <c r="N834" t="n">
        <v>0</v>
      </c>
      <c r="O834" t="n">
        <v>0</v>
      </c>
      <c r="P834" t="n">
        <v>0</v>
      </c>
      <c r="Q834" t="n">
        <v>0</v>
      </c>
      <c r="R834" s="2" t="inlineStr"/>
    </row>
    <row r="835" ht="15" customHeight="1">
      <c r="A835" t="inlineStr">
        <is>
          <t>A 60128-2023</t>
        </is>
      </c>
      <c r="B835" s="1" t="n">
        <v>45258</v>
      </c>
      <c r="C835" s="1" t="n">
        <v>45513</v>
      </c>
      <c r="D835" t="inlineStr">
        <is>
          <t>ÖREBRO LÄN</t>
        </is>
      </c>
      <c r="E835" t="inlineStr">
        <is>
          <t>ÖREBRO</t>
        </is>
      </c>
      <c r="G835" t="n">
        <v>0.6</v>
      </c>
      <c r="H835" t="n">
        <v>0</v>
      </c>
      <c r="I835" t="n">
        <v>0</v>
      </c>
      <c r="J835" t="n">
        <v>0</v>
      </c>
      <c r="K835" t="n">
        <v>0</v>
      </c>
      <c r="L835" t="n">
        <v>0</v>
      </c>
      <c r="M835" t="n">
        <v>0</v>
      </c>
      <c r="N835" t="n">
        <v>0</v>
      </c>
      <c r="O835" t="n">
        <v>0</v>
      </c>
      <c r="P835" t="n">
        <v>0</v>
      </c>
      <c r="Q835" t="n">
        <v>0</v>
      </c>
      <c r="R835" s="2" t="inlineStr"/>
    </row>
    <row r="836" ht="15" customHeight="1">
      <c r="A836" t="inlineStr">
        <is>
          <t>A 60312-2023</t>
        </is>
      </c>
      <c r="B836" s="1" t="n">
        <v>45258</v>
      </c>
      <c r="C836" s="1" t="n">
        <v>45513</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60352-2023</t>
        </is>
      </c>
      <c r="B837" s="1" t="n">
        <v>45258</v>
      </c>
      <c r="C837" s="1" t="n">
        <v>45513</v>
      </c>
      <c r="D837" t="inlineStr">
        <is>
          <t>ÖREBRO LÄN</t>
        </is>
      </c>
      <c r="E837" t="inlineStr">
        <is>
          <t>ÖREBRO</t>
        </is>
      </c>
      <c r="G837" t="n">
        <v>13.7</v>
      </c>
      <c r="H837" t="n">
        <v>0</v>
      </c>
      <c r="I837" t="n">
        <v>0</v>
      </c>
      <c r="J837" t="n">
        <v>0</v>
      </c>
      <c r="K837" t="n">
        <v>0</v>
      </c>
      <c r="L837" t="n">
        <v>0</v>
      </c>
      <c r="M837" t="n">
        <v>0</v>
      </c>
      <c r="N837" t="n">
        <v>0</v>
      </c>
      <c r="O837" t="n">
        <v>0</v>
      </c>
      <c r="P837" t="n">
        <v>0</v>
      </c>
      <c r="Q837" t="n">
        <v>0</v>
      </c>
      <c r="R837" s="2" t="inlineStr"/>
    </row>
    <row r="838" ht="15" customHeight="1">
      <c r="A838" t="inlineStr">
        <is>
          <t>A 61593-2023</t>
        </is>
      </c>
      <c r="B838" s="1" t="n">
        <v>45265</v>
      </c>
      <c r="C838" s="1" t="n">
        <v>45513</v>
      </c>
      <c r="D838" t="inlineStr">
        <is>
          <t>ÖREBRO LÄN</t>
        </is>
      </c>
      <c r="E838" t="inlineStr">
        <is>
          <t>ÖREBRO</t>
        </is>
      </c>
      <c r="G838" t="n">
        <v>2.5</v>
      </c>
      <c r="H838" t="n">
        <v>0</v>
      </c>
      <c r="I838" t="n">
        <v>0</v>
      </c>
      <c r="J838" t="n">
        <v>0</v>
      </c>
      <c r="K838" t="n">
        <v>0</v>
      </c>
      <c r="L838" t="n">
        <v>0</v>
      </c>
      <c r="M838" t="n">
        <v>0</v>
      </c>
      <c r="N838" t="n">
        <v>0</v>
      </c>
      <c r="O838" t="n">
        <v>0</v>
      </c>
      <c r="P838" t="n">
        <v>0</v>
      </c>
      <c r="Q838" t="n">
        <v>0</v>
      </c>
      <c r="R838" s="2" t="inlineStr"/>
    </row>
    <row r="839" ht="15" customHeight="1">
      <c r="A839" t="inlineStr">
        <is>
          <t>A 62511-2023</t>
        </is>
      </c>
      <c r="B839" s="1" t="n">
        <v>45268</v>
      </c>
      <c r="C839" s="1" t="n">
        <v>45513</v>
      </c>
      <c r="D839" t="inlineStr">
        <is>
          <t>ÖREBRO LÄN</t>
        </is>
      </c>
      <c r="E839" t="inlineStr">
        <is>
          <t>ÖREBRO</t>
        </is>
      </c>
      <c r="F839" t="inlineStr">
        <is>
          <t>Övriga Aktiebolag</t>
        </is>
      </c>
      <c r="G839" t="n">
        <v>3.6</v>
      </c>
      <c r="H839" t="n">
        <v>0</v>
      </c>
      <c r="I839" t="n">
        <v>0</v>
      </c>
      <c r="J839" t="n">
        <v>0</v>
      </c>
      <c r="K839" t="n">
        <v>0</v>
      </c>
      <c r="L839" t="n">
        <v>0</v>
      </c>
      <c r="M839" t="n">
        <v>0</v>
      </c>
      <c r="N839" t="n">
        <v>0</v>
      </c>
      <c r="O839" t="n">
        <v>0</v>
      </c>
      <c r="P839" t="n">
        <v>0</v>
      </c>
      <c r="Q839" t="n">
        <v>0</v>
      </c>
      <c r="R839" s="2" t="inlineStr"/>
    </row>
    <row r="840" ht="15" customHeight="1">
      <c r="A840" t="inlineStr">
        <is>
          <t>A 62497-2023</t>
        </is>
      </c>
      <c r="B840" s="1" t="n">
        <v>45268</v>
      </c>
      <c r="C840" s="1" t="n">
        <v>45513</v>
      </c>
      <c r="D840" t="inlineStr">
        <is>
          <t>ÖREBRO LÄN</t>
        </is>
      </c>
      <c r="E840" t="inlineStr">
        <is>
          <t>ÖREBRO</t>
        </is>
      </c>
      <c r="F840" t="inlineStr">
        <is>
          <t>Övriga Aktiebolag</t>
        </is>
      </c>
      <c r="G840" t="n">
        <v>3.2</v>
      </c>
      <c r="H840" t="n">
        <v>0</v>
      </c>
      <c r="I840" t="n">
        <v>0</v>
      </c>
      <c r="J840" t="n">
        <v>0</v>
      </c>
      <c r="K840" t="n">
        <v>0</v>
      </c>
      <c r="L840" t="n">
        <v>0</v>
      </c>
      <c r="M840" t="n">
        <v>0</v>
      </c>
      <c r="N840" t="n">
        <v>0</v>
      </c>
      <c r="O840" t="n">
        <v>0</v>
      </c>
      <c r="P840" t="n">
        <v>0</v>
      </c>
      <c r="Q840" t="n">
        <v>0</v>
      </c>
      <c r="R840" s="2" t="inlineStr"/>
    </row>
    <row r="841" ht="15" customHeight="1">
      <c r="A841" t="inlineStr">
        <is>
          <t>A 62995-2023</t>
        </is>
      </c>
      <c r="B841" s="1" t="n">
        <v>45272</v>
      </c>
      <c r="C841" s="1" t="n">
        <v>45513</v>
      </c>
      <c r="D841" t="inlineStr">
        <is>
          <t>ÖREBRO LÄN</t>
        </is>
      </c>
      <c r="E841" t="inlineStr">
        <is>
          <t>ÖREBRO</t>
        </is>
      </c>
      <c r="G841" t="n">
        <v>2.6</v>
      </c>
      <c r="H841" t="n">
        <v>0</v>
      </c>
      <c r="I841" t="n">
        <v>0</v>
      </c>
      <c r="J841" t="n">
        <v>0</v>
      </c>
      <c r="K841" t="n">
        <v>0</v>
      </c>
      <c r="L841" t="n">
        <v>0</v>
      </c>
      <c r="M841" t="n">
        <v>0</v>
      </c>
      <c r="N841" t="n">
        <v>0</v>
      </c>
      <c r="O841" t="n">
        <v>0</v>
      </c>
      <c r="P841" t="n">
        <v>0</v>
      </c>
      <c r="Q841" t="n">
        <v>0</v>
      </c>
      <c r="R841" s="2" t="inlineStr"/>
    </row>
    <row r="842" ht="15" customHeight="1">
      <c r="A842" t="inlineStr">
        <is>
          <t>A 63142-2023</t>
        </is>
      </c>
      <c r="B842" s="1" t="n">
        <v>45273</v>
      </c>
      <c r="C842" s="1" t="n">
        <v>45513</v>
      </c>
      <c r="D842" t="inlineStr">
        <is>
          <t>ÖREBRO LÄN</t>
        </is>
      </c>
      <c r="E842" t="inlineStr">
        <is>
          <t>ÖREBRO</t>
        </is>
      </c>
      <c r="G842" t="n">
        <v>1.8</v>
      </c>
      <c r="H842" t="n">
        <v>0</v>
      </c>
      <c r="I842" t="n">
        <v>0</v>
      </c>
      <c r="J842" t="n">
        <v>0</v>
      </c>
      <c r="K842" t="n">
        <v>0</v>
      </c>
      <c r="L842" t="n">
        <v>0</v>
      </c>
      <c r="M842" t="n">
        <v>0</v>
      </c>
      <c r="N842" t="n">
        <v>0</v>
      </c>
      <c r="O842" t="n">
        <v>0</v>
      </c>
      <c r="P842" t="n">
        <v>0</v>
      </c>
      <c r="Q842" t="n">
        <v>0</v>
      </c>
      <c r="R842" s="2" t="inlineStr"/>
    </row>
    <row r="843" ht="15" customHeight="1">
      <c r="A843" t="inlineStr">
        <is>
          <t>A 63342-2023</t>
        </is>
      </c>
      <c r="B843" s="1" t="n">
        <v>45274</v>
      </c>
      <c r="C843" s="1" t="n">
        <v>45513</v>
      </c>
      <c r="D843" t="inlineStr">
        <is>
          <t>ÖREBRO LÄN</t>
        </is>
      </c>
      <c r="E843" t="inlineStr">
        <is>
          <t>ÖREBRO</t>
        </is>
      </c>
      <c r="G843" t="n">
        <v>1.9</v>
      </c>
      <c r="H843" t="n">
        <v>0</v>
      </c>
      <c r="I843" t="n">
        <v>0</v>
      </c>
      <c r="J843" t="n">
        <v>0</v>
      </c>
      <c r="K843" t="n">
        <v>0</v>
      </c>
      <c r="L843" t="n">
        <v>0</v>
      </c>
      <c r="M843" t="n">
        <v>0</v>
      </c>
      <c r="N843" t="n">
        <v>0</v>
      </c>
      <c r="O843" t="n">
        <v>0</v>
      </c>
      <c r="P843" t="n">
        <v>0</v>
      </c>
      <c r="Q843" t="n">
        <v>0</v>
      </c>
      <c r="R843" s="2" t="inlineStr"/>
    </row>
    <row r="844" ht="15" customHeight="1">
      <c r="A844" t="inlineStr">
        <is>
          <t>A 64611-2023</t>
        </is>
      </c>
      <c r="B844" s="1" t="n">
        <v>45281</v>
      </c>
      <c r="C844" s="1" t="n">
        <v>45513</v>
      </c>
      <c r="D844" t="inlineStr">
        <is>
          <t>ÖREBRO LÄN</t>
        </is>
      </c>
      <c r="E844" t="inlineStr">
        <is>
          <t>ÖREBRO</t>
        </is>
      </c>
      <c r="G844" t="n">
        <v>9.4</v>
      </c>
      <c r="H844" t="n">
        <v>0</v>
      </c>
      <c r="I844" t="n">
        <v>0</v>
      </c>
      <c r="J844" t="n">
        <v>0</v>
      </c>
      <c r="K844" t="n">
        <v>0</v>
      </c>
      <c r="L844" t="n">
        <v>0</v>
      </c>
      <c r="M844" t="n">
        <v>0</v>
      </c>
      <c r="N844" t="n">
        <v>0</v>
      </c>
      <c r="O844" t="n">
        <v>0</v>
      </c>
      <c r="P844" t="n">
        <v>0</v>
      </c>
      <c r="Q844" t="n">
        <v>0</v>
      </c>
      <c r="R844" s="2" t="inlineStr"/>
    </row>
    <row r="845" ht="15" customHeight="1">
      <c r="A845" t="inlineStr">
        <is>
          <t>A 64730-2023</t>
        </is>
      </c>
      <c r="B845" s="1" t="n">
        <v>45281</v>
      </c>
      <c r="C845" s="1" t="n">
        <v>45513</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64968-2023</t>
        </is>
      </c>
      <c r="B846" s="1" t="n">
        <v>45283</v>
      </c>
      <c r="C846" s="1" t="n">
        <v>45513</v>
      </c>
      <c r="D846" t="inlineStr">
        <is>
          <t>ÖREBRO LÄN</t>
        </is>
      </c>
      <c r="E846" t="inlineStr">
        <is>
          <t>ÖREBRO</t>
        </is>
      </c>
      <c r="G846" t="n">
        <v>2.1</v>
      </c>
      <c r="H846" t="n">
        <v>0</v>
      </c>
      <c r="I846" t="n">
        <v>0</v>
      </c>
      <c r="J846" t="n">
        <v>0</v>
      </c>
      <c r="K846" t="n">
        <v>0</v>
      </c>
      <c r="L846" t="n">
        <v>0</v>
      </c>
      <c r="M846" t="n">
        <v>0</v>
      </c>
      <c r="N846" t="n">
        <v>0</v>
      </c>
      <c r="O846" t="n">
        <v>0</v>
      </c>
      <c r="P846" t="n">
        <v>0</v>
      </c>
      <c r="Q846" t="n">
        <v>0</v>
      </c>
      <c r="R846" s="2" t="inlineStr"/>
    </row>
    <row r="847" ht="15" customHeight="1">
      <c r="A847" t="inlineStr">
        <is>
          <t>A 65025-2023</t>
        </is>
      </c>
      <c r="B847" s="1" t="n">
        <v>45287</v>
      </c>
      <c r="C847" s="1" t="n">
        <v>45513</v>
      </c>
      <c r="D847" t="inlineStr">
        <is>
          <t>ÖREBRO LÄN</t>
        </is>
      </c>
      <c r="E847" t="inlineStr">
        <is>
          <t>ÖREBRO</t>
        </is>
      </c>
      <c r="G847" t="n">
        <v>8.9</v>
      </c>
      <c r="H847" t="n">
        <v>0</v>
      </c>
      <c r="I847" t="n">
        <v>0</v>
      </c>
      <c r="J847" t="n">
        <v>0</v>
      </c>
      <c r="K847" t="n">
        <v>0</v>
      </c>
      <c r="L847" t="n">
        <v>0</v>
      </c>
      <c r="M847" t="n">
        <v>0</v>
      </c>
      <c r="N847" t="n">
        <v>0</v>
      </c>
      <c r="O847" t="n">
        <v>0</v>
      </c>
      <c r="P847" t="n">
        <v>0</v>
      </c>
      <c r="Q847" t="n">
        <v>0</v>
      </c>
      <c r="R847" s="2" t="inlineStr"/>
    </row>
    <row r="848" ht="15" customHeight="1">
      <c r="A848" t="inlineStr">
        <is>
          <t>A 65257-2023</t>
        </is>
      </c>
      <c r="B848" s="1" t="n">
        <v>45290</v>
      </c>
      <c r="C848" s="1" t="n">
        <v>45513</v>
      </c>
      <c r="D848" t="inlineStr">
        <is>
          <t>ÖREBRO LÄN</t>
        </is>
      </c>
      <c r="E848" t="inlineStr">
        <is>
          <t>ÖREBRO</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65256-2023</t>
        </is>
      </c>
      <c r="B849" s="1" t="n">
        <v>45290</v>
      </c>
      <c r="C849" s="1" t="n">
        <v>45513</v>
      </c>
      <c r="D849" t="inlineStr">
        <is>
          <t>ÖREBRO LÄN</t>
        </is>
      </c>
      <c r="E849" t="inlineStr">
        <is>
          <t>ÖREBRO</t>
        </is>
      </c>
      <c r="F849" t="inlineStr">
        <is>
          <t>Övriga Aktiebolag</t>
        </is>
      </c>
      <c r="G849" t="n">
        <v>1.2</v>
      </c>
      <c r="H849" t="n">
        <v>0</v>
      </c>
      <c r="I849" t="n">
        <v>0</v>
      </c>
      <c r="J849" t="n">
        <v>0</v>
      </c>
      <c r="K849" t="n">
        <v>0</v>
      </c>
      <c r="L849" t="n">
        <v>0</v>
      </c>
      <c r="M849" t="n">
        <v>0</v>
      </c>
      <c r="N849" t="n">
        <v>0</v>
      </c>
      <c r="O849" t="n">
        <v>0</v>
      </c>
      <c r="P849" t="n">
        <v>0</v>
      </c>
      <c r="Q849" t="n">
        <v>0</v>
      </c>
      <c r="R849" s="2" t="inlineStr"/>
    </row>
    <row r="850" ht="15" customHeight="1">
      <c r="A850" t="inlineStr">
        <is>
          <t>A 3-2024</t>
        </is>
      </c>
      <c r="B850" s="1" t="n">
        <v>45292</v>
      </c>
      <c r="C850" s="1" t="n">
        <v>45513</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187-2024</t>
        </is>
      </c>
      <c r="B851" s="1" t="n">
        <v>45294</v>
      </c>
      <c r="C851" s="1" t="n">
        <v>45513</v>
      </c>
      <c r="D851" t="inlineStr">
        <is>
          <t>ÖREBRO LÄN</t>
        </is>
      </c>
      <c r="E851" t="inlineStr">
        <is>
          <t>ÖREBRO</t>
        </is>
      </c>
      <c r="G851" t="n">
        <v>5.9</v>
      </c>
      <c r="H851" t="n">
        <v>0</v>
      </c>
      <c r="I851" t="n">
        <v>0</v>
      </c>
      <c r="J851" t="n">
        <v>0</v>
      </c>
      <c r="K851" t="n">
        <v>0</v>
      </c>
      <c r="L851" t="n">
        <v>0</v>
      </c>
      <c r="M851" t="n">
        <v>0</v>
      </c>
      <c r="N851" t="n">
        <v>0</v>
      </c>
      <c r="O851" t="n">
        <v>0</v>
      </c>
      <c r="P851" t="n">
        <v>0</v>
      </c>
      <c r="Q851" t="n">
        <v>0</v>
      </c>
      <c r="R851" s="2" t="inlineStr"/>
    </row>
    <row r="852" ht="15" customHeight="1">
      <c r="A852" t="inlineStr">
        <is>
          <t>A 190-2024</t>
        </is>
      </c>
      <c r="B852" s="1" t="n">
        <v>45294</v>
      </c>
      <c r="C852" s="1" t="n">
        <v>45513</v>
      </c>
      <c r="D852" t="inlineStr">
        <is>
          <t>ÖREBRO LÄN</t>
        </is>
      </c>
      <c r="E852" t="inlineStr">
        <is>
          <t>ÖREBRO</t>
        </is>
      </c>
      <c r="G852" t="n">
        <v>2.4</v>
      </c>
      <c r="H852" t="n">
        <v>0</v>
      </c>
      <c r="I852" t="n">
        <v>0</v>
      </c>
      <c r="J852" t="n">
        <v>0</v>
      </c>
      <c r="K852" t="n">
        <v>0</v>
      </c>
      <c r="L852" t="n">
        <v>0</v>
      </c>
      <c r="M852" t="n">
        <v>0</v>
      </c>
      <c r="N852" t="n">
        <v>0</v>
      </c>
      <c r="O852" t="n">
        <v>0</v>
      </c>
      <c r="P852" t="n">
        <v>0</v>
      </c>
      <c r="Q852" t="n">
        <v>0</v>
      </c>
      <c r="R852" s="2" t="inlineStr"/>
    </row>
    <row r="853" ht="15" customHeight="1">
      <c r="A853" t="inlineStr">
        <is>
          <t>A 681-2024</t>
        </is>
      </c>
      <c r="B853" s="1" t="n">
        <v>45300</v>
      </c>
      <c r="C853" s="1" t="n">
        <v>45513</v>
      </c>
      <c r="D853" t="inlineStr">
        <is>
          <t>ÖREBRO LÄN</t>
        </is>
      </c>
      <c r="E853" t="inlineStr">
        <is>
          <t>ÖREBRO</t>
        </is>
      </c>
      <c r="G853" t="n">
        <v>3.3</v>
      </c>
      <c r="H853" t="n">
        <v>0</v>
      </c>
      <c r="I853" t="n">
        <v>0</v>
      </c>
      <c r="J853" t="n">
        <v>0</v>
      </c>
      <c r="K853" t="n">
        <v>0</v>
      </c>
      <c r="L853" t="n">
        <v>0</v>
      </c>
      <c r="M853" t="n">
        <v>0</v>
      </c>
      <c r="N853" t="n">
        <v>0</v>
      </c>
      <c r="O853" t="n">
        <v>0</v>
      </c>
      <c r="P853" t="n">
        <v>0</v>
      </c>
      <c r="Q853" t="n">
        <v>0</v>
      </c>
      <c r="R853" s="2" t="inlineStr"/>
    </row>
    <row r="854" ht="15" customHeight="1">
      <c r="A854" t="inlineStr">
        <is>
          <t>A 767-2024</t>
        </is>
      </c>
      <c r="B854" s="1" t="n">
        <v>45300</v>
      </c>
      <c r="C854" s="1" t="n">
        <v>45513</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764-2024</t>
        </is>
      </c>
      <c r="B855" s="1" t="n">
        <v>45300</v>
      </c>
      <c r="C855" s="1" t="n">
        <v>45513</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1013-2024</t>
        </is>
      </c>
      <c r="B856" s="1" t="n">
        <v>45301</v>
      </c>
      <c r="C856" s="1" t="n">
        <v>45513</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1014-2024</t>
        </is>
      </c>
      <c r="B857" s="1" t="n">
        <v>45301</v>
      </c>
      <c r="C857" s="1" t="n">
        <v>45513</v>
      </c>
      <c r="D857" t="inlineStr">
        <is>
          <t>ÖREBRO LÄN</t>
        </is>
      </c>
      <c r="E857" t="inlineStr">
        <is>
          <t>ÖREBRO</t>
        </is>
      </c>
      <c r="G857" t="n">
        <v>1.4</v>
      </c>
      <c r="H857" t="n">
        <v>0</v>
      </c>
      <c r="I857" t="n">
        <v>0</v>
      </c>
      <c r="J857" t="n">
        <v>0</v>
      </c>
      <c r="K857" t="n">
        <v>0</v>
      </c>
      <c r="L857" t="n">
        <v>0</v>
      </c>
      <c r="M857" t="n">
        <v>0</v>
      </c>
      <c r="N857" t="n">
        <v>0</v>
      </c>
      <c r="O857" t="n">
        <v>0</v>
      </c>
      <c r="P857" t="n">
        <v>0</v>
      </c>
      <c r="Q857" t="n">
        <v>0</v>
      </c>
      <c r="R857" s="2" t="inlineStr"/>
    </row>
    <row r="858" ht="15" customHeight="1">
      <c r="A858" t="inlineStr">
        <is>
          <t>A 1262-2024</t>
        </is>
      </c>
      <c r="B858" s="1" t="n">
        <v>45302</v>
      </c>
      <c r="C858" s="1" t="n">
        <v>45513</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1261-2024</t>
        </is>
      </c>
      <c r="B859" s="1" t="n">
        <v>45302</v>
      </c>
      <c r="C859" s="1" t="n">
        <v>45513</v>
      </c>
      <c r="D859" t="inlineStr">
        <is>
          <t>ÖREBRO LÄN</t>
        </is>
      </c>
      <c r="E859" t="inlineStr">
        <is>
          <t>ÖREBRO</t>
        </is>
      </c>
      <c r="G859" t="n">
        <v>0.7</v>
      </c>
      <c r="H859" t="n">
        <v>0</v>
      </c>
      <c r="I859" t="n">
        <v>0</v>
      </c>
      <c r="J859" t="n">
        <v>0</v>
      </c>
      <c r="K859" t="n">
        <v>0</v>
      </c>
      <c r="L859" t="n">
        <v>0</v>
      </c>
      <c r="M859" t="n">
        <v>0</v>
      </c>
      <c r="N859" t="n">
        <v>0</v>
      </c>
      <c r="O859" t="n">
        <v>0</v>
      </c>
      <c r="P859" t="n">
        <v>0</v>
      </c>
      <c r="Q859" t="n">
        <v>0</v>
      </c>
      <c r="R859" s="2" t="inlineStr"/>
    </row>
    <row r="860" ht="15" customHeight="1">
      <c r="A860" t="inlineStr">
        <is>
          <t>A 1260-2024</t>
        </is>
      </c>
      <c r="B860" s="1" t="n">
        <v>45302</v>
      </c>
      <c r="C860" s="1" t="n">
        <v>45513</v>
      </c>
      <c r="D860" t="inlineStr">
        <is>
          <t>ÖREBRO LÄN</t>
        </is>
      </c>
      <c r="E860" t="inlineStr">
        <is>
          <t>ÖREBRO</t>
        </is>
      </c>
      <c r="G860" t="n">
        <v>0.9</v>
      </c>
      <c r="H860" t="n">
        <v>0</v>
      </c>
      <c r="I860" t="n">
        <v>0</v>
      </c>
      <c r="J860" t="n">
        <v>0</v>
      </c>
      <c r="K860" t="n">
        <v>0</v>
      </c>
      <c r="L860" t="n">
        <v>0</v>
      </c>
      <c r="M860" t="n">
        <v>0</v>
      </c>
      <c r="N860" t="n">
        <v>0</v>
      </c>
      <c r="O860" t="n">
        <v>0</v>
      </c>
      <c r="P860" t="n">
        <v>0</v>
      </c>
      <c r="Q860" t="n">
        <v>0</v>
      </c>
      <c r="R860" s="2" t="inlineStr"/>
    </row>
    <row r="861" ht="15" customHeight="1">
      <c r="A861" t="inlineStr">
        <is>
          <t>A 1647-2024</t>
        </is>
      </c>
      <c r="B861" s="1" t="n">
        <v>45306</v>
      </c>
      <c r="C861" s="1" t="n">
        <v>45513</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1800-2024</t>
        </is>
      </c>
      <c r="B862" s="1" t="n">
        <v>45307</v>
      </c>
      <c r="C862" s="1" t="n">
        <v>45513</v>
      </c>
      <c r="D862" t="inlineStr">
        <is>
          <t>ÖREBRO LÄN</t>
        </is>
      </c>
      <c r="E862" t="inlineStr">
        <is>
          <t>ÖREBRO</t>
        </is>
      </c>
      <c r="G862" t="n">
        <v>1.5</v>
      </c>
      <c r="H862" t="n">
        <v>0</v>
      </c>
      <c r="I862" t="n">
        <v>0</v>
      </c>
      <c r="J862" t="n">
        <v>0</v>
      </c>
      <c r="K862" t="n">
        <v>0</v>
      </c>
      <c r="L862" t="n">
        <v>0</v>
      </c>
      <c r="M862" t="n">
        <v>0</v>
      </c>
      <c r="N862" t="n">
        <v>0</v>
      </c>
      <c r="O862" t="n">
        <v>0</v>
      </c>
      <c r="P862" t="n">
        <v>0</v>
      </c>
      <c r="Q862" t="n">
        <v>0</v>
      </c>
      <c r="R862" s="2" t="inlineStr"/>
    </row>
    <row r="863" ht="15" customHeight="1">
      <c r="A863" t="inlineStr">
        <is>
          <t>A 3767-2024</t>
        </is>
      </c>
      <c r="B863" s="1" t="n">
        <v>45321</v>
      </c>
      <c r="C863" s="1" t="n">
        <v>45513</v>
      </c>
      <c r="D863" t="inlineStr">
        <is>
          <t>ÖREBRO LÄN</t>
        </is>
      </c>
      <c r="E863" t="inlineStr">
        <is>
          <t>ÖREBRO</t>
        </is>
      </c>
      <c r="G863" t="n">
        <v>5.2</v>
      </c>
      <c r="H863" t="n">
        <v>0</v>
      </c>
      <c r="I863" t="n">
        <v>0</v>
      </c>
      <c r="J863" t="n">
        <v>0</v>
      </c>
      <c r="K863" t="n">
        <v>0</v>
      </c>
      <c r="L863" t="n">
        <v>0</v>
      </c>
      <c r="M863" t="n">
        <v>0</v>
      </c>
      <c r="N863" t="n">
        <v>0</v>
      </c>
      <c r="O863" t="n">
        <v>0</v>
      </c>
      <c r="P863" t="n">
        <v>0</v>
      </c>
      <c r="Q863" t="n">
        <v>0</v>
      </c>
      <c r="R863" s="2" t="inlineStr"/>
    </row>
    <row r="864" ht="15" customHeight="1">
      <c r="A864" t="inlineStr">
        <is>
          <t>A 3891-2024</t>
        </is>
      </c>
      <c r="B864" s="1" t="n">
        <v>45322</v>
      </c>
      <c r="C864" s="1" t="n">
        <v>45513</v>
      </c>
      <c r="D864" t="inlineStr">
        <is>
          <t>ÖREBRO LÄN</t>
        </is>
      </c>
      <c r="E864" t="inlineStr">
        <is>
          <t>ÖREBRO</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4757-2024</t>
        </is>
      </c>
      <c r="B865" s="1" t="n">
        <v>45328</v>
      </c>
      <c r="C865" s="1" t="n">
        <v>45513</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5127-2024</t>
        </is>
      </c>
      <c r="B866" s="1" t="n">
        <v>45330</v>
      </c>
      <c r="C866" s="1" t="n">
        <v>45513</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5135-2024</t>
        </is>
      </c>
      <c r="B867" s="1" t="n">
        <v>45330</v>
      </c>
      <c r="C867" s="1" t="n">
        <v>45513</v>
      </c>
      <c r="D867" t="inlineStr">
        <is>
          <t>ÖREBRO LÄN</t>
        </is>
      </c>
      <c r="E867" t="inlineStr">
        <is>
          <t>ÖREBRO</t>
        </is>
      </c>
      <c r="G867" t="n">
        <v>0.8</v>
      </c>
      <c r="H867" t="n">
        <v>0</v>
      </c>
      <c r="I867" t="n">
        <v>0</v>
      </c>
      <c r="J867" t="n">
        <v>0</v>
      </c>
      <c r="K867" t="n">
        <v>0</v>
      </c>
      <c r="L867" t="n">
        <v>0</v>
      </c>
      <c r="M867" t="n">
        <v>0</v>
      </c>
      <c r="N867" t="n">
        <v>0</v>
      </c>
      <c r="O867" t="n">
        <v>0</v>
      </c>
      <c r="P867" t="n">
        <v>0</v>
      </c>
      <c r="Q867" t="n">
        <v>0</v>
      </c>
      <c r="R867" s="2" t="inlineStr"/>
    </row>
    <row r="868" ht="15" customHeight="1">
      <c r="A868" t="inlineStr">
        <is>
          <t>A 5136-2024</t>
        </is>
      </c>
      <c r="B868" s="1" t="n">
        <v>45330</v>
      </c>
      <c r="C868" s="1" t="n">
        <v>45513</v>
      </c>
      <c r="D868" t="inlineStr">
        <is>
          <t>ÖREBRO LÄN</t>
        </is>
      </c>
      <c r="E868" t="inlineStr">
        <is>
          <t>ÖREBRO</t>
        </is>
      </c>
      <c r="G868" t="n">
        <v>2.1</v>
      </c>
      <c r="H868" t="n">
        <v>0</v>
      </c>
      <c r="I868" t="n">
        <v>0</v>
      </c>
      <c r="J868" t="n">
        <v>0</v>
      </c>
      <c r="K868" t="n">
        <v>0</v>
      </c>
      <c r="L868" t="n">
        <v>0</v>
      </c>
      <c r="M868" t="n">
        <v>0</v>
      </c>
      <c r="N868" t="n">
        <v>0</v>
      </c>
      <c r="O868" t="n">
        <v>0</v>
      </c>
      <c r="P868" t="n">
        <v>0</v>
      </c>
      <c r="Q868" t="n">
        <v>0</v>
      </c>
      <c r="R868" s="2" t="inlineStr"/>
    </row>
    <row r="869" ht="15" customHeight="1">
      <c r="A869" t="inlineStr">
        <is>
          <t>A 5113-2024</t>
        </is>
      </c>
      <c r="B869" s="1" t="n">
        <v>45330</v>
      </c>
      <c r="C869" s="1" t="n">
        <v>45513</v>
      </c>
      <c r="D869" t="inlineStr">
        <is>
          <t>ÖREBRO LÄN</t>
        </is>
      </c>
      <c r="E869" t="inlineStr">
        <is>
          <t>ÖREBRO</t>
        </is>
      </c>
      <c r="G869" t="n">
        <v>1.7</v>
      </c>
      <c r="H869" t="n">
        <v>0</v>
      </c>
      <c r="I869" t="n">
        <v>0</v>
      </c>
      <c r="J869" t="n">
        <v>0</v>
      </c>
      <c r="K869" t="n">
        <v>0</v>
      </c>
      <c r="L869" t="n">
        <v>0</v>
      </c>
      <c r="M869" t="n">
        <v>0</v>
      </c>
      <c r="N869" t="n">
        <v>0</v>
      </c>
      <c r="O869" t="n">
        <v>0</v>
      </c>
      <c r="P869" t="n">
        <v>0</v>
      </c>
      <c r="Q869" t="n">
        <v>0</v>
      </c>
      <c r="R869" s="2" t="inlineStr"/>
    </row>
    <row r="870" ht="15" customHeight="1">
      <c r="A870" t="inlineStr">
        <is>
          <t>A 5125-2024</t>
        </is>
      </c>
      <c r="B870" s="1" t="n">
        <v>45330</v>
      </c>
      <c r="C870" s="1" t="n">
        <v>45513</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5129-2024</t>
        </is>
      </c>
      <c r="B871" s="1" t="n">
        <v>45330</v>
      </c>
      <c r="C871" s="1" t="n">
        <v>45513</v>
      </c>
      <c r="D871" t="inlineStr">
        <is>
          <t>ÖREBRO LÄN</t>
        </is>
      </c>
      <c r="E871" t="inlineStr">
        <is>
          <t>ÖREBRO</t>
        </is>
      </c>
      <c r="G871" t="n">
        <v>0.5</v>
      </c>
      <c r="H871" t="n">
        <v>0</v>
      </c>
      <c r="I871" t="n">
        <v>0</v>
      </c>
      <c r="J871" t="n">
        <v>0</v>
      </c>
      <c r="K871" t="n">
        <v>0</v>
      </c>
      <c r="L871" t="n">
        <v>0</v>
      </c>
      <c r="M871" t="n">
        <v>0</v>
      </c>
      <c r="N871" t="n">
        <v>0</v>
      </c>
      <c r="O871" t="n">
        <v>0</v>
      </c>
      <c r="P871" t="n">
        <v>0</v>
      </c>
      <c r="Q871" t="n">
        <v>0</v>
      </c>
      <c r="R871" s="2" t="inlineStr"/>
    </row>
    <row r="872" ht="15" customHeight="1">
      <c r="A872" t="inlineStr">
        <is>
          <t>A 5133-2024</t>
        </is>
      </c>
      <c r="B872" s="1" t="n">
        <v>45330</v>
      </c>
      <c r="C872" s="1" t="n">
        <v>45513</v>
      </c>
      <c r="D872" t="inlineStr">
        <is>
          <t>ÖREBRO LÄN</t>
        </is>
      </c>
      <c r="E872" t="inlineStr">
        <is>
          <t>ÖREBRO</t>
        </is>
      </c>
      <c r="G872" t="n">
        <v>0.5</v>
      </c>
      <c r="H872" t="n">
        <v>0</v>
      </c>
      <c r="I872" t="n">
        <v>0</v>
      </c>
      <c r="J872" t="n">
        <v>0</v>
      </c>
      <c r="K872" t="n">
        <v>0</v>
      </c>
      <c r="L872" t="n">
        <v>0</v>
      </c>
      <c r="M872" t="n">
        <v>0</v>
      </c>
      <c r="N872" t="n">
        <v>0</v>
      </c>
      <c r="O872" t="n">
        <v>0</v>
      </c>
      <c r="P872" t="n">
        <v>0</v>
      </c>
      <c r="Q872" t="n">
        <v>0</v>
      </c>
      <c r="R872" s="2" t="inlineStr"/>
    </row>
    <row r="873" ht="15" customHeight="1">
      <c r="A873" t="inlineStr">
        <is>
          <t>A 5324-2024</t>
        </is>
      </c>
      <c r="B873" s="1" t="n">
        <v>45331</v>
      </c>
      <c r="C873" s="1" t="n">
        <v>45513</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5342-2024</t>
        </is>
      </c>
      <c r="B874" s="1" t="n">
        <v>45331</v>
      </c>
      <c r="C874" s="1" t="n">
        <v>45513</v>
      </c>
      <c r="D874" t="inlineStr">
        <is>
          <t>ÖREBRO LÄN</t>
        </is>
      </c>
      <c r="E874" t="inlineStr">
        <is>
          <t>ÖREBRO</t>
        </is>
      </c>
      <c r="G874" t="n">
        <v>2.5</v>
      </c>
      <c r="H874" t="n">
        <v>0</v>
      </c>
      <c r="I874" t="n">
        <v>0</v>
      </c>
      <c r="J874" t="n">
        <v>0</v>
      </c>
      <c r="K874" t="n">
        <v>0</v>
      </c>
      <c r="L874" t="n">
        <v>0</v>
      </c>
      <c r="M874" t="n">
        <v>0</v>
      </c>
      <c r="N874" t="n">
        <v>0</v>
      </c>
      <c r="O874" t="n">
        <v>0</v>
      </c>
      <c r="P874" t="n">
        <v>0</v>
      </c>
      <c r="Q874" t="n">
        <v>0</v>
      </c>
      <c r="R874" s="2" t="inlineStr"/>
    </row>
    <row r="875" ht="15" customHeight="1">
      <c r="A875" t="inlineStr">
        <is>
          <t>A 5352-2024</t>
        </is>
      </c>
      <c r="B875" s="1" t="n">
        <v>45331</v>
      </c>
      <c r="C875" s="1" t="n">
        <v>45513</v>
      </c>
      <c r="D875" t="inlineStr">
        <is>
          <t>ÖREBRO LÄN</t>
        </is>
      </c>
      <c r="E875" t="inlineStr">
        <is>
          <t>ÖREBRO</t>
        </is>
      </c>
      <c r="G875" t="n">
        <v>1.6</v>
      </c>
      <c r="H875" t="n">
        <v>0</v>
      </c>
      <c r="I875" t="n">
        <v>0</v>
      </c>
      <c r="J875" t="n">
        <v>0</v>
      </c>
      <c r="K875" t="n">
        <v>0</v>
      </c>
      <c r="L875" t="n">
        <v>0</v>
      </c>
      <c r="M875" t="n">
        <v>0</v>
      </c>
      <c r="N875" t="n">
        <v>0</v>
      </c>
      <c r="O875" t="n">
        <v>0</v>
      </c>
      <c r="P875" t="n">
        <v>0</v>
      </c>
      <c r="Q875" t="n">
        <v>0</v>
      </c>
      <c r="R875" s="2" t="inlineStr"/>
    </row>
    <row r="876" ht="15" customHeight="1">
      <c r="A876" t="inlineStr">
        <is>
          <t>A 5330-2024</t>
        </is>
      </c>
      <c r="B876" s="1" t="n">
        <v>45331</v>
      </c>
      <c r="C876" s="1" t="n">
        <v>45513</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5338-2024</t>
        </is>
      </c>
      <c r="B877" s="1" t="n">
        <v>45331</v>
      </c>
      <c r="C877" s="1" t="n">
        <v>45513</v>
      </c>
      <c r="D877" t="inlineStr">
        <is>
          <t>ÖREBRO LÄN</t>
        </is>
      </c>
      <c r="E877" t="inlineStr">
        <is>
          <t>ÖREBRO</t>
        </is>
      </c>
      <c r="G877" t="n">
        <v>0.6</v>
      </c>
      <c r="H877" t="n">
        <v>0</v>
      </c>
      <c r="I877" t="n">
        <v>0</v>
      </c>
      <c r="J877" t="n">
        <v>0</v>
      </c>
      <c r="K877" t="n">
        <v>0</v>
      </c>
      <c r="L877" t="n">
        <v>0</v>
      </c>
      <c r="M877" t="n">
        <v>0</v>
      </c>
      <c r="N877" t="n">
        <v>0</v>
      </c>
      <c r="O877" t="n">
        <v>0</v>
      </c>
      <c r="P877" t="n">
        <v>0</v>
      </c>
      <c r="Q877" t="n">
        <v>0</v>
      </c>
      <c r="R877" s="2" t="inlineStr"/>
    </row>
    <row r="878" ht="15" customHeight="1">
      <c r="A878" t="inlineStr">
        <is>
          <t>A 5357-2024</t>
        </is>
      </c>
      <c r="B878" s="1" t="n">
        <v>45331</v>
      </c>
      <c r="C878" s="1" t="n">
        <v>45513</v>
      </c>
      <c r="D878" t="inlineStr">
        <is>
          <t>ÖREBRO LÄN</t>
        </is>
      </c>
      <c r="E878" t="inlineStr">
        <is>
          <t>ÖREBRO</t>
        </is>
      </c>
      <c r="G878" t="n">
        <v>0.7</v>
      </c>
      <c r="H878" t="n">
        <v>0</v>
      </c>
      <c r="I878" t="n">
        <v>0</v>
      </c>
      <c r="J878" t="n">
        <v>0</v>
      </c>
      <c r="K878" t="n">
        <v>0</v>
      </c>
      <c r="L878" t="n">
        <v>0</v>
      </c>
      <c r="M878" t="n">
        <v>0</v>
      </c>
      <c r="N878" t="n">
        <v>0</v>
      </c>
      <c r="O878" t="n">
        <v>0</v>
      </c>
      <c r="P878" t="n">
        <v>0</v>
      </c>
      <c r="Q878" t="n">
        <v>0</v>
      </c>
      <c r="R878" s="2" t="inlineStr"/>
    </row>
    <row r="879" ht="15" customHeight="1">
      <c r="A879" t="inlineStr">
        <is>
          <t>A 5578-2024</t>
        </is>
      </c>
      <c r="B879" s="1" t="n">
        <v>45334</v>
      </c>
      <c r="C879" s="1" t="n">
        <v>45513</v>
      </c>
      <c r="D879" t="inlineStr">
        <is>
          <t>ÖREBRO LÄN</t>
        </is>
      </c>
      <c r="E879" t="inlineStr">
        <is>
          <t>ÖREBRO</t>
        </is>
      </c>
      <c r="G879" t="n">
        <v>2.4</v>
      </c>
      <c r="H879" t="n">
        <v>0</v>
      </c>
      <c r="I879" t="n">
        <v>0</v>
      </c>
      <c r="J879" t="n">
        <v>0</v>
      </c>
      <c r="K879" t="n">
        <v>0</v>
      </c>
      <c r="L879" t="n">
        <v>0</v>
      </c>
      <c r="M879" t="n">
        <v>0</v>
      </c>
      <c r="N879" t="n">
        <v>0</v>
      </c>
      <c r="O879" t="n">
        <v>0</v>
      </c>
      <c r="P879" t="n">
        <v>0</v>
      </c>
      <c r="Q879" t="n">
        <v>0</v>
      </c>
      <c r="R879" s="2" t="inlineStr"/>
    </row>
    <row r="880" ht="15" customHeight="1">
      <c r="A880" t="inlineStr">
        <is>
          <t>A 5795-2024</t>
        </is>
      </c>
      <c r="B880" s="1" t="n">
        <v>45335</v>
      </c>
      <c r="C880" s="1" t="n">
        <v>45513</v>
      </c>
      <c r="D880" t="inlineStr">
        <is>
          <t>ÖREBRO LÄN</t>
        </is>
      </c>
      <c r="E880" t="inlineStr">
        <is>
          <t>ÖREBRO</t>
        </is>
      </c>
      <c r="G880" t="n">
        <v>1.8</v>
      </c>
      <c r="H880" t="n">
        <v>0</v>
      </c>
      <c r="I880" t="n">
        <v>0</v>
      </c>
      <c r="J880" t="n">
        <v>0</v>
      </c>
      <c r="K880" t="n">
        <v>0</v>
      </c>
      <c r="L880" t="n">
        <v>0</v>
      </c>
      <c r="M880" t="n">
        <v>0</v>
      </c>
      <c r="N880" t="n">
        <v>0</v>
      </c>
      <c r="O880" t="n">
        <v>0</v>
      </c>
      <c r="P880" t="n">
        <v>0</v>
      </c>
      <c r="Q880" t="n">
        <v>0</v>
      </c>
      <c r="R880" s="2" t="inlineStr"/>
    </row>
    <row r="881" ht="15" customHeight="1">
      <c r="A881" t="inlineStr">
        <is>
          <t>A 6586-2024</t>
        </is>
      </c>
      <c r="B881" s="1" t="n">
        <v>45341</v>
      </c>
      <c r="C881" s="1" t="n">
        <v>45513</v>
      </c>
      <c r="D881" t="inlineStr">
        <is>
          <t>ÖREBRO LÄN</t>
        </is>
      </c>
      <c r="E881" t="inlineStr">
        <is>
          <t>ÖREBRO</t>
        </is>
      </c>
      <c r="F881" t="inlineStr">
        <is>
          <t>Övriga Aktiebolag</t>
        </is>
      </c>
      <c r="G881" t="n">
        <v>6.9</v>
      </c>
      <c r="H881" t="n">
        <v>0</v>
      </c>
      <c r="I881" t="n">
        <v>0</v>
      </c>
      <c r="J881" t="n">
        <v>0</v>
      </c>
      <c r="K881" t="n">
        <v>0</v>
      </c>
      <c r="L881" t="n">
        <v>0</v>
      </c>
      <c r="M881" t="n">
        <v>0</v>
      </c>
      <c r="N881" t="n">
        <v>0</v>
      </c>
      <c r="O881" t="n">
        <v>0</v>
      </c>
      <c r="P881" t="n">
        <v>0</v>
      </c>
      <c r="Q881" t="n">
        <v>0</v>
      </c>
      <c r="R881" s="2" t="inlineStr"/>
    </row>
    <row r="882" ht="15" customHeight="1">
      <c r="A882" t="inlineStr">
        <is>
          <t>A 6592-2024</t>
        </is>
      </c>
      <c r="B882" s="1" t="n">
        <v>45341</v>
      </c>
      <c r="C882" s="1" t="n">
        <v>45513</v>
      </c>
      <c r="D882" t="inlineStr">
        <is>
          <t>ÖREBRO LÄN</t>
        </is>
      </c>
      <c r="E882" t="inlineStr">
        <is>
          <t>ÖREBRO</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6879-2024</t>
        </is>
      </c>
      <c r="B883" s="1" t="n">
        <v>45342</v>
      </c>
      <c r="C883" s="1" t="n">
        <v>45513</v>
      </c>
      <c r="D883" t="inlineStr">
        <is>
          <t>ÖREBRO LÄN</t>
        </is>
      </c>
      <c r="E883" t="inlineStr">
        <is>
          <t>ÖREBRO</t>
        </is>
      </c>
      <c r="G883" t="n">
        <v>1.6</v>
      </c>
      <c r="H883" t="n">
        <v>0</v>
      </c>
      <c r="I883" t="n">
        <v>0</v>
      </c>
      <c r="J883" t="n">
        <v>0</v>
      </c>
      <c r="K883" t="n">
        <v>0</v>
      </c>
      <c r="L883" t="n">
        <v>0</v>
      </c>
      <c r="M883" t="n">
        <v>0</v>
      </c>
      <c r="N883" t="n">
        <v>0</v>
      </c>
      <c r="O883" t="n">
        <v>0</v>
      </c>
      <c r="P883" t="n">
        <v>0</v>
      </c>
      <c r="Q883" t="n">
        <v>0</v>
      </c>
      <c r="R883" s="2" t="inlineStr"/>
    </row>
    <row r="884" ht="15" customHeight="1">
      <c r="A884" t="inlineStr">
        <is>
          <t>A 7609-2024</t>
        </is>
      </c>
      <c r="B884" s="1" t="n">
        <v>45348</v>
      </c>
      <c r="C884" s="1" t="n">
        <v>45513</v>
      </c>
      <c r="D884" t="inlineStr">
        <is>
          <t>ÖREBRO LÄN</t>
        </is>
      </c>
      <c r="E884" t="inlineStr">
        <is>
          <t>ÖREBRO</t>
        </is>
      </c>
      <c r="G884" t="n">
        <v>1</v>
      </c>
      <c r="H884" t="n">
        <v>0</v>
      </c>
      <c r="I884" t="n">
        <v>0</v>
      </c>
      <c r="J884" t="n">
        <v>0</v>
      </c>
      <c r="K884" t="n">
        <v>0</v>
      </c>
      <c r="L884" t="n">
        <v>0</v>
      </c>
      <c r="M884" t="n">
        <v>0</v>
      </c>
      <c r="N884" t="n">
        <v>0</v>
      </c>
      <c r="O884" t="n">
        <v>0</v>
      </c>
      <c r="P884" t="n">
        <v>0</v>
      </c>
      <c r="Q884" t="n">
        <v>0</v>
      </c>
      <c r="R884" s="2" t="inlineStr"/>
    </row>
    <row r="885" ht="15" customHeight="1">
      <c r="A885" t="inlineStr">
        <is>
          <t>A 7634-2024</t>
        </is>
      </c>
      <c r="B885" s="1" t="n">
        <v>45348</v>
      </c>
      <c r="C885" s="1" t="n">
        <v>45513</v>
      </c>
      <c r="D885" t="inlineStr">
        <is>
          <t>ÖREBRO LÄN</t>
        </is>
      </c>
      <c r="E885" t="inlineStr">
        <is>
          <t>ÖREBRO</t>
        </is>
      </c>
      <c r="G885" t="n">
        <v>1.8</v>
      </c>
      <c r="H885" t="n">
        <v>0</v>
      </c>
      <c r="I885" t="n">
        <v>0</v>
      </c>
      <c r="J885" t="n">
        <v>0</v>
      </c>
      <c r="K885" t="n">
        <v>0</v>
      </c>
      <c r="L885" t="n">
        <v>0</v>
      </c>
      <c r="M885" t="n">
        <v>0</v>
      </c>
      <c r="N885" t="n">
        <v>0</v>
      </c>
      <c r="O885" t="n">
        <v>0</v>
      </c>
      <c r="P885" t="n">
        <v>0</v>
      </c>
      <c r="Q885" t="n">
        <v>0</v>
      </c>
      <c r="R885" s="2" t="inlineStr"/>
    </row>
    <row r="886" ht="15" customHeight="1">
      <c r="A886" t="inlineStr">
        <is>
          <t>A 7611-2024</t>
        </is>
      </c>
      <c r="B886" s="1" t="n">
        <v>45348</v>
      </c>
      <c r="C886" s="1" t="n">
        <v>45513</v>
      </c>
      <c r="D886" t="inlineStr">
        <is>
          <t>ÖREBRO LÄN</t>
        </is>
      </c>
      <c r="E886" t="inlineStr">
        <is>
          <t>ÖREBRO</t>
        </is>
      </c>
      <c r="G886" t="n">
        <v>4.2</v>
      </c>
      <c r="H886" t="n">
        <v>0</v>
      </c>
      <c r="I886" t="n">
        <v>0</v>
      </c>
      <c r="J886" t="n">
        <v>0</v>
      </c>
      <c r="K886" t="n">
        <v>0</v>
      </c>
      <c r="L886" t="n">
        <v>0</v>
      </c>
      <c r="M886" t="n">
        <v>0</v>
      </c>
      <c r="N886" t="n">
        <v>0</v>
      </c>
      <c r="O886" t="n">
        <v>0</v>
      </c>
      <c r="P886" t="n">
        <v>0</v>
      </c>
      <c r="Q886" t="n">
        <v>0</v>
      </c>
      <c r="R886" s="2" t="inlineStr"/>
    </row>
    <row r="887" ht="15" customHeight="1">
      <c r="A887" t="inlineStr">
        <is>
          <t>A 8005-2024</t>
        </is>
      </c>
      <c r="B887" s="1" t="n">
        <v>45350</v>
      </c>
      <c r="C887" s="1" t="n">
        <v>45513</v>
      </c>
      <c r="D887" t="inlineStr">
        <is>
          <t>ÖREBRO LÄN</t>
        </is>
      </c>
      <c r="E887" t="inlineStr">
        <is>
          <t>ÖREBRO</t>
        </is>
      </c>
      <c r="G887" t="n">
        <v>1.6</v>
      </c>
      <c r="H887" t="n">
        <v>0</v>
      </c>
      <c r="I887" t="n">
        <v>0</v>
      </c>
      <c r="J887" t="n">
        <v>0</v>
      </c>
      <c r="K887" t="n">
        <v>0</v>
      </c>
      <c r="L887" t="n">
        <v>0</v>
      </c>
      <c r="M887" t="n">
        <v>0</v>
      </c>
      <c r="N887" t="n">
        <v>0</v>
      </c>
      <c r="O887" t="n">
        <v>0</v>
      </c>
      <c r="P887" t="n">
        <v>0</v>
      </c>
      <c r="Q887" t="n">
        <v>0</v>
      </c>
      <c r="R887" s="2" t="inlineStr"/>
    </row>
    <row r="888" ht="15" customHeight="1">
      <c r="A888" t="inlineStr">
        <is>
          <t>A 8008-2024</t>
        </is>
      </c>
      <c r="B888" s="1" t="n">
        <v>45350</v>
      </c>
      <c r="C888" s="1" t="n">
        <v>45513</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9379-2024</t>
        </is>
      </c>
      <c r="B889" s="1" t="n">
        <v>45359</v>
      </c>
      <c r="C889" s="1" t="n">
        <v>45513</v>
      </c>
      <c r="D889" t="inlineStr">
        <is>
          <t>ÖREBRO LÄN</t>
        </is>
      </c>
      <c r="E889" t="inlineStr">
        <is>
          <t>ÖREBRO</t>
        </is>
      </c>
      <c r="G889" t="n">
        <v>2.4</v>
      </c>
      <c r="H889" t="n">
        <v>0</v>
      </c>
      <c r="I889" t="n">
        <v>0</v>
      </c>
      <c r="J889" t="n">
        <v>0</v>
      </c>
      <c r="K889" t="n">
        <v>0</v>
      </c>
      <c r="L889" t="n">
        <v>0</v>
      </c>
      <c r="M889" t="n">
        <v>0</v>
      </c>
      <c r="N889" t="n">
        <v>0</v>
      </c>
      <c r="O889" t="n">
        <v>0</v>
      </c>
      <c r="P889" t="n">
        <v>0</v>
      </c>
      <c r="Q889" t="n">
        <v>0</v>
      </c>
      <c r="R889" s="2" t="inlineStr"/>
    </row>
    <row r="890" ht="15" customHeight="1">
      <c r="A890" t="inlineStr">
        <is>
          <t>A 9458-2024</t>
        </is>
      </c>
      <c r="B890" s="1" t="n">
        <v>45359</v>
      </c>
      <c r="C890" s="1" t="n">
        <v>45513</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9670-2024</t>
        </is>
      </c>
      <c r="B891" s="1" t="n">
        <v>45362</v>
      </c>
      <c r="C891" s="1" t="n">
        <v>45513</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9677-2024</t>
        </is>
      </c>
      <c r="B892" s="1" t="n">
        <v>45362</v>
      </c>
      <c r="C892" s="1" t="n">
        <v>45513</v>
      </c>
      <c r="D892" t="inlineStr">
        <is>
          <t>ÖREBRO LÄN</t>
        </is>
      </c>
      <c r="E892" t="inlineStr">
        <is>
          <t>ÖREBRO</t>
        </is>
      </c>
      <c r="G892" t="n">
        <v>1</v>
      </c>
      <c r="H892" t="n">
        <v>0</v>
      </c>
      <c r="I892" t="n">
        <v>0</v>
      </c>
      <c r="J892" t="n">
        <v>0</v>
      </c>
      <c r="K892" t="n">
        <v>0</v>
      </c>
      <c r="L892" t="n">
        <v>0</v>
      </c>
      <c r="M892" t="n">
        <v>0</v>
      </c>
      <c r="N892" t="n">
        <v>0</v>
      </c>
      <c r="O892" t="n">
        <v>0</v>
      </c>
      <c r="P892" t="n">
        <v>0</v>
      </c>
      <c r="Q892" t="n">
        <v>0</v>
      </c>
      <c r="R892" s="2" t="inlineStr"/>
    </row>
    <row r="893" ht="15" customHeight="1">
      <c r="A893" t="inlineStr">
        <is>
          <t>A 10291-2024</t>
        </is>
      </c>
      <c r="B893" s="1" t="n">
        <v>45365</v>
      </c>
      <c r="C893" s="1" t="n">
        <v>45513</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10544-2024</t>
        </is>
      </c>
      <c r="B894" s="1" t="n">
        <v>45366</v>
      </c>
      <c r="C894" s="1" t="n">
        <v>45513</v>
      </c>
      <c r="D894" t="inlineStr">
        <is>
          <t>ÖREBRO LÄN</t>
        </is>
      </c>
      <c r="E894" t="inlineStr">
        <is>
          <t>ÖREBRO</t>
        </is>
      </c>
      <c r="G894" t="n">
        <v>0.8</v>
      </c>
      <c r="H894" t="n">
        <v>0</v>
      </c>
      <c r="I894" t="n">
        <v>0</v>
      </c>
      <c r="J894" t="n">
        <v>0</v>
      </c>
      <c r="K894" t="n">
        <v>0</v>
      </c>
      <c r="L894" t="n">
        <v>0</v>
      </c>
      <c r="M894" t="n">
        <v>0</v>
      </c>
      <c r="N894" t="n">
        <v>0</v>
      </c>
      <c r="O894" t="n">
        <v>0</v>
      </c>
      <c r="P894" t="n">
        <v>0</v>
      </c>
      <c r="Q894" t="n">
        <v>0</v>
      </c>
      <c r="R894" s="2" t="inlineStr"/>
    </row>
    <row r="895" ht="15" customHeight="1">
      <c r="A895" t="inlineStr">
        <is>
          <t>A 10799-2024</t>
        </is>
      </c>
      <c r="B895" s="1" t="n">
        <v>45369</v>
      </c>
      <c r="C895" s="1" t="n">
        <v>45513</v>
      </c>
      <c r="D895" t="inlineStr">
        <is>
          <t>ÖREBRO LÄN</t>
        </is>
      </c>
      <c r="E895" t="inlineStr">
        <is>
          <t>ÖREBRO</t>
        </is>
      </c>
      <c r="G895" t="n">
        <v>5.8</v>
      </c>
      <c r="H895" t="n">
        <v>0</v>
      </c>
      <c r="I895" t="n">
        <v>0</v>
      </c>
      <c r="J895" t="n">
        <v>0</v>
      </c>
      <c r="K895" t="n">
        <v>0</v>
      </c>
      <c r="L895" t="n">
        <v>0</v>
      </c>
      <c r="M895" t="n">
        <v>0</v>
      </c>
      <c r="N895" t="n">
        <v>0</v>
      </c>
      <c r="O895" t="n">
        <v>0</v>
      </c>
      <c r="P895" t="n">
        <v>0</v>
      </c>
      <c r="Q895" t="n">
        <v>0</v>
      </c>
      <c r="R895" s="2" t="inlineStr"/>
    </row>
    <row r="896" ht="15" customHeight="1">
      <c r="A896" t="inlineStr">
        <is>
          <t>A 10937-2024</t>
        </is>
      </c>
      <c r="B896" s="1" t="n">
        <v>45370</v>
      </c>
      <c r="C896" s="1" t="n">
        <v>45513</v>
      </c>
      <c r="D896" t="inlineStr">
        <is>
          <t>ÖREBRO LÄN</t>
        </is>
      </c>
      <c r="E896" t="inlineStr">
        <is>
          <t>ÖREBRO</t>
        </is>
      </c>
      <c r="G896" t="n">
        <v>4.3</v>
      </c>
      <c r="H896" t="n">
        <v>0</v>
      </c>
      <c r="I896" t="n">
        <v>0</v>
      </c>
      <c r="J896" t="n">
        <v>0</v>
      </c>
      <c r="K896" t="n">
        <v>0</v>
      </c>
      <c r="L896" t="n">
        <v>0</v>
      </c>
      <c r="M896" t="n">
        <v>0</v>
      </c>
      <c r="N896" t="n">
        <v>0</v>
      </c>
      <c r="O896" t="n">
        <v>0</v>
      </c>
      <c r="P896" t="n">
        <v>0</v>
      </c>
      <c r="Q896" t="n">
        <v>0</v>
      </c>
      <c r="R896" s="2" t="inlineStr"/>
    </row>
    <row r="897" ht="15" customHeight="1">
      <c r="A897" t="inlineStr">
        <is>
          <t>A 11516-2024</t>
        </is>
      </c>
      <c r="B897" s="1" t="n">
        <v>45372</v>
      </c>
      <c r="C897" s="1" t="n">
        <v>45513</v>
      </c>
      <c r="D897" t="inlineStr">
        <is>
          <t>ÖREBRO LÄN</t>
        </is>
      </c>
      <c r="E897" t="inlineStr">
        <is>
          <t>ÖREBRO</t>
        </is>
      </c>
      <c r="G897" t="n">
        <v>10.7</v>
      </c>
      <c r="H897" t="n">
        <v>0</v>
      </c>
      <c r="I897" t="n">
        <v>0</v>
      </c>
      <c r="J897" t="n">
        <v>0</v>
      </c>
      <c r="K897" t="n">
        <v>0</v>
      </c>
      <c r="L897" t="n">
        <v>0</v>
      </c>
      <c r="M897" t="n">
        <v>0</v>
      </c>
      <c r="N897" t="n">
        <v>0</v>
      </c>
      <c r="O897" t="n">
        <v>0</v>
      </c>
      <c r="P897" t="n">
        <v>0</v>
      </c>
      <c r="Q897" t="n">
        <v>0</v>
      </c>
      <c r="R897" s="2" t="inlineStr"/>
    </row>
    <row r="898" ht="15" customHeight="1">
      <c r="A898" t="inlineStr">
        <is>
          <t>A 11663-2024</t>
        </is>
      </c>
      <c r="B898" s="1" t="n">
        <v>45373</v>
      </c>
      <c r="C898" s="1" t="n">
        <v>45513</v>
      </c>
      <c r="D898" t="inlineStr">
        <is>
          <t>ÖREBRO LÄN</t>
        </is>
      </c>
      <c r="E898" t="inlineStr">
        <is>
          <t>ÖREBRO</t>
        </is>
      </c>
      <c r="G898" t="n">
        <v>1</v>
      </c>
      <c r="H898" t="n">
        <v>0</v>
      </c>
      <c r="I898" t="n">
        <v>0</v>
      </c>
      <c r="J898" t="n">
        <v>0</v>
      </c>
      <c r="K898" t="n">
        <v>0</v>
      </c>
      <c r="L898" t="n">
        <v>0</v>
      </c>
      <c r="M898" t="n">
        <v>0</v>
      </c>
      <c r="N898" t="n">
        <v>0</v>
      </c>
      <c r="O898" t="n">
        <v>0</v>
      </c>
      <c r="P898" t="n">
        <v>0</v>
      </c>
      <c r="Q898" t="n">
        <v>0</v>
      </c>
      <c r="R898" s="2" t="inlineStr"/>
    </row>
    <row r="899" ht="15" customHeight="1">
      <c r="A899" t="inlineStr">
        <is>
          <t>A 11940-2024</t>
        </is>
      </c>
      <c r="B899" s="1" t="n">
        <v>45376</v>
      </c>
      <c r="C899" s="1" t="n">
        <v>45513</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12017-2024</t>
        </is>
      </c>
      <c r="B900" s="1" t="n">
        <v>45377</v>
      </c>
      <c r="C900" s="1" t="n">
        <v>45513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13169-2024</t>
        </is>
      </c>
      <c r="B901" s="1" t="n">
        <v>45386</v>
      </c>
      <c r="C901" s="1" t="n">
        <v>45513</v>
      </c>
      <c r="D901" t="inlineStr">
        <is>
          <t>ÖREBRO LÄN</t>
        </is>
      </c>
      <c r="E901" t="inlineStr">
        <is>
          <t>ÖREBRO</t>
        </is>
      </c>
      <c r="G901" t="n">
        <v>4.3</v>
      </c>
      <c r="H901" t="n">
        <v>0</v>
      </c>
      <c r="I901" t="n">
        <v>0</v>
      </c>
      <c r="J901" t="n">
        <v>0</v>
      </c>
      <c r="K901" t="n">
        <v>0</v>
      </c>
      <c r="L901" t="n">
        <v>0</v>
      </c>
      <c r="M901" t="n">
        <v>0</v>
      </c>
      <c r="N901" t="n">
        <v>0</v>
      </c>
      <c r="O901" t="n">
        <v>0</v>
      </c>
      <c r="P901" t="n">
        <v>0</v>
      </c>
      <c r="Q901" t="n">
        <v>0</v>
      </c>
      <c r="R901" s="2" t="inlineStr"/>
    </row>
    <row r="902" ht="15" customHeight="1">
      <c r="A902" t="inlineStr">
        <is>
          <t>A 13321-2024</t>
        </is>
      </c>
      <c r="B902" s="1" t="n">
        <v>45386</v>
      </c>
      <c r="C902" s="1" t="n">
        <v>45513</v>
      </c>
      <c r="D902" t="inlineStr">
        <is>
          <t>ÖREBRO LÄN</t>
        </is>
      </c>
      <c r="E902" t="inlineStr">
        <is>
          <t>ÖREBRO</t>
        </is>
      </c>
      <c r="G902" t="n">
        <v>13.1</v>
      </c>
      <c r="H902" t="n">
        <v>0</v>
      </c>
      <c r="I902" t="n">
        <v>0</v>
      </c>
      <c r="J902" t="n">
        <v>0</v>
      </c>
      <c r="K902" t="n">
        <v>0</v>
      </c>
      <c r="L902" t="n">
        <v>0</v>
      </c>
      <c r="M902" t="n">
        <v>0</v>
      </c>
      <c r="N902" t="n">
        <v>0</v>
      </c>
      <c r="O902" t="n">
        <v>0</v>
      </c>
      <c r="P902" t="n">
        <v>0</v>
      </c>
      <c r="Q902" t="n">
        <v>0</v>
      </c>
      <c r="R902" s="2" t="inlineStr"/>
    </row>
    <row r="903" ht="15" customHeight="1">
      <c r="A903" t="inlineStr">
        <is>
          <t>A 13158-2024</t>
        </is>
      </c>
      <c r="B903" s="1" t="n">
        <v>45386</v>
      </c>
      <c r="C903" s="1" t="n">
        <v>45513</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13453-2024</t>
        </is>
      </c>
      <c r="B904" s="1" t="n">
        <v>45387</v>
      </c>
      <c r="C904" s="1" t="n">
        <v>45513</v>
      </c>
      <c r="D904" t="inlineStr">
        <is>
          <t>ÖREBRO LÄN</t>
        </is>
      </c>
      <c r="E904" t="inlineStr">
        <is>
          <t>ÖREBRO</t>
        </is>
      </c>
      <c r="G904" t="n">
        <v>1.7</v>
      </c>
      <c r="H904" t="n">
        <v>0</v>
      </c>
      <c r="I904" t="n">
        <v>0</v>
      </c>
      <c r="J904" t="n">
        <v>0</v>
      </c>
      <c r="K904" t="n">
        <v>0</v>
      </c>
      <c r="L904" t="n">
        <v>0</v>
      </c>
      <c r="M904" t="n">
        <v>0</v>
      </c>
      <c r="N904" t="n">
        <v>0</v>
      </c>
      <c r="O904" t="n">
        <v>0</v>
      </c>
      <c r="P904" t="n">
        <v>0</v>
      </c>
      <c r="Q904" t="n">
        <v>0</v>
      </c>
      <c r="R904" s="2" t="inlineStr"/>
    </row>
    <row r="905" ht="15" customHeight="1">
      <c r="A905" t="inlineStr">
        <is>
          <t>A 13418-2024</t>
        </is>
      </c>
      <c r="B905" s="1" t="n">
        <v>45387</v>
      </c>
      <c r="C905" s="1" t="n">
        <v>45513</v>
      </c>
      <c r="D905" t="inlineStr">
        <is>
          <t>ÖREBRO LÄN</t>
        </is>
      </c>
      <c r="E905" t="inlineStr">
        <is>
          <t>ÖREBRO</t>
        </is>
      </c>
      <c r="G905" t="n">
        <v>4.2</v>
      </c>
      <c r="H905" t="n">
        <v>0</v>
      </c>
      <c r="I905" t="n">
        <v>0</v>
      </c>
      <c r="J905" t="n">
        <v>0</v>
      </c>
      <c r="K905" t="n">
        <v>0</v>
      </c>
      <c r="L905" t="n">
        <v>0</v>
      </c>
      <c r="M905" t="n">
        <v>0</v>
      </c>
      <c r="N905" t="n">
        <v>0</v>
      </c>
      <c r="O905" t="n">
        <v>0</v>
      </c>
      <c r="P905" t="n">
        <v>0</v>
      </c>
      <c r="Q905" t="n">
        <v>0</v>
      </c>
      <c r="R905" s="2" t="inlineStr"/>
    </row>
    <row r="906" ht="15" customHeight="1">
      <c r="A906" t="inlineStr">
        <is>
          <t>A 13395-2024</t>
        </is>
      </c>
      <c r="B906" s="1" t="n">
        <v>45387</v>
      </c>
      <c r="C906" s="1" t="n">
        <v>45513</v>
      </c>
      <c r="D906" t="inlineStr">
        <is>
          <t>ÖREBRO LÄN</t>
        </is>
      </c>
      <c r="E906" t="inlineStr">
        <is>
          <t>ÖREBRO</t>
        </is>
      </c>
      <c r="G906" t="n">
        <v>1.9</v>
      </c>
      <c r="H906" t="n">
        <v>0</v>
      </c>
      <c r="I906" t="n">
        <v>0</v>
      </c>
      <c r="J906" t="n">
        <v>0</v>
      </c>
      <c r="K906" t="n">
        <v>0</v>
      </c>
      <c r="L906" t="n">
        <v>0</v>
      </c>
      <c r="M906" t="n">
        <v>0</v>
      </c>
      <c r="N906" t="n">
        <v>0</v>
      </c>
      <c r="O906" t="n">
        <v>0</v>
      </c>
      <c r="P906" t="n">
        <v>0</v>
      </c>
      <c r="Q906" t="n">
        <v>0</v>
      </c>
      <c r="R906" s="2" t="inlineStr"/>
    </row>
    <row r="907" ht="15" customHeight="1">
      <c r="A907" t="inlineStr">
        <is>
          <t>A 13458-2024</t>
        </is>
      </c>
      <c r="B907" s="1" t="n">
        <v>45387</v>
      </c>
      <c r="C907" s="1" t="n">
        <v>45513</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13625-2024</t>
        </is>
      </c>
      <c r="B908" s="1" t="n">
        <v>45390</v>
      </c>
      <c r="C908" s="1" t="n">
        <v>45513</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13623-2024</t>
        </is>
      </c>
      <c r="B909" s="1" t="n">
        <v>45390</v>
      </c>
      <c r="C909" s="1" t="n">
        <v>45513</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13700-2024</t>
        </is>
      </c>
      <c r="B910" s="1" t="n">
        <v>45390</v>
      </c>
      <c r="C910" s="1" t="n">
        <v>45513</v>
      </c>
      <c r="D910" t="inlineStr">
        <is>
          <t>ÖREBRO LÄN</t>
        </is>
      </c>
      <c r="E910" t="inlineStr">
        <is>
          <t>ÖREBRO</t>
        </is>
      </c>
      <c r="G910" t="n">
        <v>1.2</v>
      </c>
      <c r="H910" t="n">
        <v>0</v>
      </c>
      <c r="I910" t="n">
        <v>0</v>
      </c>
      <c r="J910" t="n">
        <v>0</v>
      </c>
      <c r="K910" t="n">
        <v>0</v>
      </c>
      <c r="L910" t="n">
        <v>0</v>
      </c>
      <c r="M910" t="n">
        <v>0</v>
      </c>
      <c r="N910" t="n">
        <v>0</v>
      </c>
      <c r="O910" t="n">
        <v>0</v>
      </c>
      <c r="P910" t="n">
        <v>0</v>
      </c>
      <c r="Q910" t="n">
        <v>0</v>
      </c>
      <c r="R910" s="2" t="inlineStr"/>
    </row>
    <row r="911" ht="15" customHeight="1">
      <c r="A911" t="inlineStr">
        <is>
          <t>A 14173-2024</t>
        </is>
      </c>
      <c r="B911" s="1" t="n">
        <v>45393</v>
      </c>
      <c r="C911" s="1" t="n">
        <v>45513</v>
      </c>
      <c r="D911" t="inlineStr">
        <is>
          <t>ÖREBRO LÄN</t>
        </is>
      </c>
      <c r="E911" t="inlineStr">
        <is>
          <t>ÖREBRO</t>
        </is>
      </c>
      <c r="G911" t="n">
        <v>0.9</v>
      </c>
      <c r="H911" t="n">
        <v>0</v>
      </c>
      <c r="I911" t="n">
        <v>0</v>
      </c>
      <c r="J911" t="n">
        <v>0</v>
      </c>
      <c r="K911" t="n">
        <v>0</v>
      </c>
      <c r="L911" t="n">
        <v>0</v>
      </c>
      <c r="M911" t="n">
        <v>0</v>
      </c>
      <c r="N911" t="n">
        <v>0</v>
      </c>
      <c r="O911" t="n">
        <v>0</v>
      </c>
      <c r="P911" t="n">
        <v>0</v>
      </c>
      <c r="Q911" t="n">
        <v>0</v>
      </c>
      <c r="R911" s="2" t="inlineStr"/>
    </row>
    <row r="912" ht="15" customHeight="1">
      <c r="A912" t="inlineStr">
        <is>
          <t>A 14234-2024</t>
        </is>
      </c>
      <c r="B912" s="1" t="n">
        <v>45393</v>
      </c>
      <c r="C912" s="1" t="n">
        <v>45513</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14279-2024</t>
        </is>
      </c>
      <c r="B913" s="1" t="n">
        <v>45393</v>
      </c>
      <c r="C913" s="1" t="n">
        <v>45513</v>
      </c>
      <c r="D913" t="inlineStr">
        <is>
          <t>ÖREBRO LÄN</t>
        </is>
      </c>
      <c r="E913" t="inlineStr">
        <is>
          <t>ÖREBRO</t>
        </is>
      </c>
      <c r="G913" t="n">
        <v>2.6</v>
      </c>
      <c r="H913" t="n">
        <v>0</v>
      </c>
      <c r="I913" t="n">
        <v>0</v>
      </c>
      <c r="J913" t="n">
        <v>0</v>
      </c>
      <c r="K913" t="n">
        <v>0</v>
      </c>
      <c r="L913" t="n">
        <v>0</v>
      </c>
      <c r="M913" t="n">
        <v>0</v>
      </c>
      <c r="N913" t="n">
        <v>0</v>
      </c>
      <c r="O913" t="n">
        <v>0</v>
      </c>
      <c r="P913" t="n">
        <v>0</v>
      </c>
      <c r="Q913" t="n">
        <v>0</v>
      </c>
      <c r="R913" s="2" t="inlineStr"/>
    </row>
    <row r="914" ht="15" customHeight="1">
      <c r="A914" t="inlineStr">
        <is>
          <t>A 14717-2024</t>
        </is>
      </c>
      <c r="B914" s="1" t="n">
        <v>45397</v>
      </c>
      <c r="C914" s="1" t="n">
        <v>45513</v>
      </c>
      <c r="D914" t="inlineStr">
        <is>
          <t>ÖREBRO LÄN</t>
        </is>
      </c>
      <c r="E914" t="inlineStr">
        <is>
          <t>ÖREBRO</t>
        </is>
      </c>
      <c r="G914" t="n">
        <v>0.7</v>
      </c>
      <c r="H914" t="n">
        <v>0</v>
      </c>
      <c r="I914" t="n">
        <v>0</v>
      </c>
      <c r="J914" t="n">
        <v>0</v>
      </c>
      <c r="K914" t="n">
        <v>0</v>
      </c>
      <c r="L914" t="n">
        <v>0</v>
      </c>
      <c r="M914" t="n">
        <v>0</v>
      </c>
      <c r="N914" t="n">
        <v>0</v>
      </c>
      <c r="O914" t="n">
        <v>0</v>
      </c>
      <c r="P914" t="n">
        <v>0</v>
      </c>
      <c r="Q914" t="n">
        <v>0</v>
      </c>
      <c r="R914" s="2" t="inlineStr"/>
    </row>
    <row r="915" ht="15" customHeight="1">
      <c r="A915" t="inlineStr">
        <is>
          <t>A 14715-2024</t>
        </is>
      </c>
      <c r="B915" s="1" t="n">
        <v>45397</v>
      </c>
      <c r="C915" s="1" t="n">
        <v>45513</v>
      </c>
      <c r="D915" t="inlineStr">
        <is>
          <t>ÖREBRO LÄN</t>
        </is>
      </c>
      <c r="E915" t="inlineStr">
        <is>
          <t>ÖREBRO</t>
        </is>
      </c>
      <c r="G915" t="n">
        <v>1.2</v>
      </c>
      <c r="H915" t="n">
        <v>0</v>
      </c>
      <c r="I915" t="n">
        <v>0</v>
      </c>
      <c r="J915" t="n">
        <v>0</v>
      </c>
      <c r="K915" t="n">
        <v>0</v>
      </c>
      <c r="L915" t="n">
        <v>0</v>
      </c>
      <c r="M915" t="n">
        <v>0</v>
      </c>
      <c r="N915" t="n">
        <v>0</v>
      </c>
      <c r="O915" t="n">
        <v>0</v>
      </c>
      <c r="P915" t="n">
        <v>0</v>
      </c>
      <c r="Q915" t="n">
        <v>0</v>
      </c>
      <c r="R915" s="2" t="inlineStr"/>
    </row>
    <row r="916" ht="15" customHeight="1">
      <c r="A916" t="inlineStr">
        <is>
          <t>A 15354-2024</t>
        </is>
      </c>
      <c r="B916" s="1" t="n">
        <v>45400</v>
      </c>
      <c r="C916" s="1" t="n">
        <v>45513</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15698-2024</t>
        </is>
      </c>
      <c r="B917" s="1" t="n">
        <v>45404</v>
      </c>
      <c r="C917" s="1" t="n">
        <v>45513</v>
      </c>
      <c r="D917" t="inlineStr">
        <is>
          <t>ÖREBRO LÄN</t>
        </is>
      </c>
      <c r="E917" t="inlineStr">
        <is>
          <t>ÖREBRO</t>
        </is>
      </c>
      <c r="G917" t="n">
        <v>6.9</v>
      </c>
      <c r="H917" t="n">
        <v>0</v>
      </c>
      <c r="I917" t="n">
        <v>0</v>
      </c>
      <c r="J917" t="n">
        <v>0</v>
      </c>
      <c r="K917" t="n">
        <v>0</v>
      </c>
      <c r="L917" t="n">
        <v>0</v>
      </c>
      <c r="M917" t="n">
        <v>0</v>
      </c>
      <c r="N917" t="n">
        <v>0</v>
      </c>
      <c r="O917" t="n">
        <v>0</v>
      </c>
      <c r="P917" t="n">
        <v>0</v>
      </c>
      <c r="Q917" t="n">
        <v>0</v>
      </c>
      <c r="R917" s="2" t="inlineStr"/>
    </row>
    <row r="918" ht="15" customHeight="1">
      <c r="A918" t="inlineStr">
        <is>
          <t>A 15689-2024</t>
        </is>
      </c>
      <c r="B918" s="1" t="n">
        <v>45404</v>
      </c>
      <c r="C918" s="1" t="n">
        <v>45513</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15693-2024</t>
        </is>
      </c>
      <c r="B919" s="1" t="n">
        <v>45404</v>
      </c>
      <c r="C919" s="1" t="n">
        <v>45513</v>
      </c>
      <c r="D919" t="inlineStr">
        <is>
          <t>ÖREBRO LÄN</t>
        </is>
      </c>
      <c r="E919" t="inlineStr">
        <is>
          <t>ÖREBRO</t>
        </is>
      </c>
      <c r="G919" t="n">
        <v>1.5</v>
      </c>
      <c r="H919" t="n">
        <v>0</v>
      </c>
      <c r="I919" t="n">
        <v>0</v>
      </c>
      <c r="J919" t="n">
        <v>0</v>
      </c>
      <c r="K919" t="n">
        <v>0</v>
      </c>
      <c r="L919" t="n">
        <v>0</v>
      </c>
      <c r="M919" t="n">
        <v>0</v>
      </c>
      <c r="N919" t="n">
        <v>0</v>
      </c>
      <c r="O919" t="n">
        <v>0</v>
      </c>
      <c r="P919" t="n">
        <v>0</v>
      </c>
      <c r="Q919" t="n">
        <v>0</v>
      </c>
      <c r="R919" s="2" t="inlineStr"/>
    </row>
    <row r="920" ht="15" customHeight="1">
      <c r="A920" t="inlineStr">
        <is>
          <t>A 15695-2024</t>
        </is>
      </c>
      <c r="B920" s="1" t="n">
        <v>45404</v>
      </c>
      <c r="C920" s="1" t="n">
        <v>45513</v>
      </c>
      <c r="D920" t="inlineStr">
        <is>
          <t>ÖREBRO LÄN</t>
        </is>
      </c>
      <c r="E920" t="inlineStr">
        <is>
          <t>ÖREBRO</t>
        </is>
      </c>
      <c r="G920" t="n">
        <v>2.7</v>
      </c>
      <c r="H920" t="n">
        <v>0</v>
      </c>
      <c r="I920" t="n">
        <v>0</v>
      </c>
      <c r="J920" t="n">
        <v>0</v>
      </c>
      <c r="K920" t="n">
        <v>0</v>
      </c>
      <c r="L920" t="n">
        <v>0</v>
      </c>
      <c r="M920" t="n">
        <v>0</v>
      </c>
      <c r="N920" t="n">
        <v>0</v>
      </c>
      <c r="O920" t="n">
        <v>0</v>
      </c>
      <c r="P920" t="n">
        <v>0</v>
      </c>
      <c r="Q920" t="n">
        <v>0</v>
      </c>
      <c r="R920" s="2" t="inlineStr"/>
    </row>
    <row r="921" ht="15" customHeight="1">
      <c r="A921" t="inlineStr">
        <is>
          <t>A 17103-2024</t>
        </is>
      </c>
      <c r="B921" s="1" t="n">
        <v>45412</v>
      </c>
      <c r="C921" s="1" t="n">
        <v>45513</v>
      </c>
      <c r="D921" t="inlineStr">
        <is>
          <t>ÖREBRO LÄN</t>
        </is>
      </c>
      <c r="E921" t="inlineStr">
        <is>
          <t>ÖREBRO</t>
        </is>
      </c>
      <c r="G921" t="n">
        <v>5</v>
      </c>
      <c r="H921" t="n">
        <v>0</v>
      </c>
      <c r="I921" t="n">
        <v>0</v>
      </c>
      <c r="J921" t="n">
        <v>0</v>
      </c>
      <c r="K921" t="n">
        <v>0</v>
      </c>
      <c r="L921" t="n">
        <v>0</v>
      </c>
      <c r="M921" t="n">
        <v>0</v>
      </c>
      <c r="N921" t="n">
        <v>0</v>
      </c>
      <c r="O921" t="n">
        <v>0</v>
      </c>
      <c r="P921" t="n">
        <v>0</v>
      </c>
      <c r="Q921" t="n">
        <v>0</v>
      </c>
      <c r="R921" s="2" t="inlineStr"/>
    </row>
    <row r="922" ht="15" customHeight="1">
      <c r="A922" t="inlineStr">
        <is>
          <t>A 17014-2024</t>
        </is>
      </c>
      <c r="B922" s="1" t="n">
        <v>45412</v>
      </c>
      <c r="C922" s="1" t="n">
        <v>45513</v>
      </c>
      <c r="D922" t="inlineStr">
        <is>
          <t>ÖREBRO LÄN</t>
        </is>
      </c>
      <c r="E922" t="inlineStr">
        <is>
          <t>ÖREBRO</t>
        </is>
      </c>
      <c r="G922" t="n">
        <v>6.9</v>
      </c>
      <c r="H922" t="n">
        <v>0</v>
      </c>
      <c r="I922" t="n">
        <v>0</v>
      </c>
      <c r="J922" t="n">
        <v>0</v>
      </c>
      <c r="K922" t="n">
        <v>0</v>
      </c>
      <c r="L922" t="n">
        <v>0</v>
      </c>
      <c r="M922" t="n">
        <v>0</v>
      </c>
      <c r="N922" t="n">
        <v>0</v>
      </c>
      <c r="O922" t="n">
        <v>0</v>
      </c>
      <c r="P922" t="n">
        <v>0</v>
      </c>
      <c r="Q922" t="n">
        <v>0</v>
      </c>
      <c r="R922" s="2" t="inlineStr"/>
    </row>
    <row r="923" ht="15" customHeight="1">
      <c r="A923" t="inlineStr">
        <is>
          <t>A 17680-2024</t>
        </is>
      </c>
      <c r="B923" s="1" t="n">
        <v>45418</v>
      </c>
      <c r="C923" s="1" t="n">
        <v>45513</v>
      </c>
      <c r="D923" t="inlineStr">
        <is>
          <t>ÖREBRO LÄN</t>
        </is>
      </c>
      <c r="E923" t="inlineStr">
        <is>
          <t>ÖREBRO</t>
        </is>
      </c>
      <c r="G923" t="n">
        <v>5.1</v>
      </c>
      <c r="H923" t="n">
        <v>0</v>
      </c>
      <c r="I923" t="n">
        <v>0</v>
      </c>
      <c r="J923" t="n">
        <v>0</v>
      </c>
      <c r="K923" t="n">
        <v>0</v>
      </c>
      <c r="L923" t="n">
        <v>0</v>
      </c>
      <c r="M923" t="n">
        <v>0</v>
      </c>
      <c r="N923" t="n">
        <v>0</v>
      </c>
      <c r="O923" t="n">
        <v>0</v>
      </c>
      <c r="P923" t="n">
        <v>0</v>
      </c>
      <c r="Q923" t="n">
        <v>0</v>
      </c>
      <c r="R923" s="2" t="inlineStr"/>
    </row>
    <row r="924" ht="15" customHeight="1">
      <c r="A924" t="inlineStr">
        <is>
          <t>A 17869-2024</t>
        </is>
      </c>
      <c r="B924" s="1" t="n">
        <v>45419</v>
      </c>
      <c r="C924" s="1" t="n">
        <v>45513</v>
      </c>
      <c r="D924" t="inlineStr">
        <is>
          <t>ÖREBRO LÄN</t>
        </is>
      </c>
      <c r="E924" t="inlineStr">
        <is>
          <t>ÖREBRO</t>
        </is>
      </c>
      <c r="G924" t="n">
        <v>3.7</v>
      </c>
      <c r="H924" t="n">
        <v>0</v>
      </c>
      <c r="I924" t="n">
        <v>0</v>
      </c>
      <c r="J924" t="n">
        <v>0</v>
      </c>
      <c r="K924" t="n">
        <v>0</v>
      </c>
      <c r="L924" t="n">
        <v>0</v>
      </c>
      <c r="M924" t="n">
        <v>0</v>
      </c>
      <c r="N924" t="n">
        <v>0</v>
      </c>
      <c r="O924" t="n">
        <v>0</v>
      </c>
      <c r="P924" t="n">
        <v>0</v>
      </c>
      <c r="Q924" t="n">
        <v>0</v>
      </c>
      <c r="R924" s="2" t="inlineStr"/>
    </row>
    <row r="925" ht="15" customHeight="1">
      <c r="A925" t="inlineStr">
        <is>
          <t>A 17863-2024</t>
        </is>
      </c>
      <c r="B925" s="1" t="n">
        <v>45419</v>
      </c>
      <c r="C925" s="1" t="n">
        <v>45513</v>
      </c>
      <c r="D925" t="inlineStr">
        <is>
          <t>ÖREBRO LÄN</t>
        </is>
      </c>
      <c r="E925" t="inlineStr">
        <is>
          <t>ÖREBRO</t>
        </is>
      </c>
      <c r="G925" t="n">
        <v>2.1</v>
      </c>
      <c r="H925" t="n">
        <v>0</v>
      </c>
      <c r="I925" t="n">
        <v>0</v>
      </c>
      <c r="J925" t="n">
        <v>0</v>
      </c>
      <c r="K925" t="n">
        <v>0</v>
      </c>
      <c r="L925" t="n">
        <v>0</v>
      </c>
      <c r="M925" t="n">
        <v>0</v>
      </c>
      <c r="N925" t="n">
        <v>0</v>
      </c>
      <c r="O925" t="n">
        <v>0</v>
      </c>
      <c r="P925" t="n">
        <v>0</v>
      </c>
      <c r="Q925" t="n">
        <v>0</v>
      </c>
      <c r="R925" s="2" t="inlineStr"/>
    </row>
    <row r="926" ht="15" customHeight="1">
      <c r="A926" t="inlineStr">
        <is>
          <t>A 18181-2024</t>
        </is>
      </c>
      <c r="B926" s="1" t="n">
        <v>45420</v>
      </c>
      <c r="C926" s="1" t="n">
        <v>45513</v>
      </c>
      <c r="D926" t="inlineStr">
        <is>
          <t>ÖREBRO LÄN</t>
        </is>
      </c>
      <c r="E926" t="inlineStr">
        <is>
          <t>ÖREBRO</t>
        </is>
      </c>
      <c r="G926" t="n">
        <v>7.6</v>
      </c>
      <c r="H926" t="n">
        <v>0</v>
      </c>
      <c r="I926" t="n">
        <v>0</v>
      </c>
      <c r="J926" t="n">
        <v>0</v>
      </c>
      <c r="K926" t="n">
        <v>0</v>
      </c>
      <c r="L926" t="n">
        <v>0</v>
      </c>
      <c r="M926" t="n">
        <v>0</v>
      </c>
      <c r="N926" t="n">
        <v>0</v>
      </c>
      <c r="O926" t="n">
        <v>0</v>
      </c>
      <c r="P926" t="n">
        <v>0</v>
      </c>
      <c r="Q926" t="n">
        <v>0</v>
      </c>
      <c r="R926" s="2" t="inlineStr"/>
    </row>
    <row r="927" ht="15" customHeight="1">
      <c r="A927" t="inlineStr">
        <is>
          <t>A 18360-2024</t>
        </is>
      </c>
      <c r="B927" s="1" t="n">
        <v>45422</v>
      </c>
      <c r="C927" s="1" t="n">
        <v>45513</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19306-2024</t>
        </is>
      </c>
      <c r="B928" s="1" t="n">
        <v>45428</v>
      </c>
      <c r="C928" s="1" t="n">
        <v>45513</v>
      </c>
      <c r="D928" t="inlineStr">
        <is>
          <t>ÖREBRO LÄN</t>
        </is>
      </c>
      <c r="E928" t="inlineStr">
        <is>
          <t>ÖREBRO</t>
        </is>
      </c>
      <c r="F928" t="inlineStr">
        <is>
          <t>Övriga Aktiebolag</t>
        </is>
      </c>
      <c r="G928" t="n">
        <v>5.2</v>
      </c>
      <c r="H928" t="n">
        <v>0</v>
      </c>
      <c r="I928" t="n">
        <v>0</v>
      </c>
      <c r="J928" t="n">
        <v>0</v>
      </c>
      <c r="K928" t="n">
        <v>0</v>
      </c>
      <c r="L928" t="n">
        <v>0</v>
      </c>
      <c r="M928" t="n">
        <v>0</v>
      </c>
      <c r="N928" t="n">
        <v>0</v>
      </c>
      <c r="O928" t="n">
        <v>0</v>
      </c>
      <c r="P928" t="n">
        <v>0</v>
      </c>
      <c r="Q928" t="n">
        <v>0</v>
      </c>
      <c r="R928" s="2" t="inlineStr"/>
    </row>
    <row r="929" ht="15" customHeight="1">
      <c r="A929" t="inlineStr">
        <is>
          <t>A 19388-2024</t>
        </is>
      </c>
      <c r="B929" s="1" t="n">
        <v>45429</v>
      </c>
      <c r="C929" s="1" t="n">
        <v>45513</v>
      </c>
      <c r="D929" t="inlineStr">
        <is>
          <t>ÖREBRO LÄN</t>
        </is>
      </c>
      <c r="E929" t="inlineStr">
        <is>
          <t>ÖREBRO</t>
        </is>
      </c>
      <c r="G929" t="n">
        <v>4.3</v>
      </c>
      <c r="H929" t="n">
        <v>0</v>
      </c>
      <c r="I929" t="n">
        <v>0</v>
      </c>
      <c r="J929" t="n">
        <v>0</v>
      </c>
      <c r="K929" t="n">
        <v>0</v>
      </c>
      <c r="L929" t="n">
        <v>0</v>
      </c>
      <c r="M929" t="n">
        <v>0</v>
      </c>
      <c r="N929" t="n">
        <v>0</v>
      </c>
      <c r="O929" t="n">
        <v>0</v>
      </c>
      <c r="P929" t="n">
        <v>0</v>
      </c>
      <c r="Q929" t="n">
        <v>0</v>
      </c>
      <c r="R929" s="2" t="inlineStr"/>
    </row>
    <row r="930" ht="15" customHeight="1">
      <c r="A930" t="inlineStr">
        <is>
          <t>A 19392-2024</t>
        </is>
      </c>
      <c r="B930" s="1" t="n">
        <v>45429</v>
      </c>
      <c r="C930" s="1" t="n">
        <v>45513</v>
      </c>
      <c r="D930" t="inlineStr">
        <is>
          <t>ÖREBRO LÄN</t>
        </is>
      </c>
      <c r="E930" t="inlineStr">
        <is>
          <t>ÖREBRO</t>
        </is>
      </c>
      <c r="G930" t="n">
        <v>1</v>
      </c>
      <c r="H930" t="n">
        <v>0</v>
      </c>
      <c r="I930" t="n">
        <v>0</v>
      </c>
      <c r="J930" t="n">
        <v>0</v>
      </c>
      <c r="K930" t="n">
        <v>0</v>
      </c>
      <c r="L930" t="n">
        <v>0</v>
      </c>
      <c r="M930" t="n">
        <v>0</v>
      </c>
      <c r="N930" t="n">
        <v>0</v>
      </c>
      <c r="O930" t="n">
        <v>0</v>
      </c>
      <c r="P930" t="n">
        <v>0</v>
      </c>
      <c r="Q930" t="n">
        <v>0</v>
      </c>
      <c r="R930" s="2" t="inlineStr"/>
    </row>
    <row r="931" ht="15" customHeight="1">
      <c r="A931" t="inlineStr">
        <is>
          <t>A 19384-2024</t>
        </is>
      </c>
      <c r="B931" s="1" t="n">
        <v>45429</v>
      </c>
      <c r="C931" s="1" t="n">
        <v>45513</v>
      </c>
      <c r="D931" t="inlineStr">
        <is>
          <t>ÖREBRO LÄN</t>
        </is>
      </c>
      <c r="E931" t="inlineStr">
        <is>
          <t>ÖREBRO</t>
        </is>
      </c>
      <c r="G931" t="n">
        <v>13</v>
      </c>
      <c r="H931" t="n">
        <v>0</v>
      </c>
      <c r="I931" t="n">
        <v>0</v>
      </c>
      <c r="J931" t="n">
        <v>0</v>
      </c>
      <c r="K931" t="n">
        <v>0</v>
      </c>
      <c r="L931" t="n">
        <v>0</v>
      </c>
      <c r="M931" t="n">
        <v>0</v>
      </c>
      <c r="N931" t="n">
        <v>0</v>
      </c>
      <c r="O931" t="n">
        <v>0</v>
      </c>
      <c r="P931" t="n">
        <v>0</v>
      </c>
      <c r="Q931" t="n">
        <v>0</v>
      </c>
      <c r="R931" s="2" t="inlineStr"/>
    </row>
    <row r="932" ht="15" customHeight="1">
      <c r="A932" t="inlineStr">
        <is>
          <t>A 19763-2024</t>
        </is>
      </c>
      <c r="B932" s="1" t="n">
        <v>45432</v>
      </c>
      <c r="C932" s="1" t="n">
        <v>45513</v>
      </c>
      <c r="D932" t="inlineStr">
        <is>
          <t>ÖREBRO LÄN</t>
        </is>
      </c>
      <c r="E932" t="inlineStr">
        <is>
          <t>ÖREBRO</t>
        </is>
      </c>
      <c r="G932" t="n">
        <v>1.9</v>
      </c>
      <c r="H932" t="n">
        <v>0</v>
      </c>
      <c r="I932" t="n">
        <v>0</v>
      </c>
      <c r="J932" t="n">
        <v>0</v>
      </c>
      <c r="K932" t="n">
        <v>0</v>
      </c>
      <c r="L932" t="n">
        <v>0</v>
      </c>
      <c r="M932" t="n">
        <v>0</v>
      </c>
      <c r="N932" t="n">
        <v>0</v>
      </c>
      <c r="O932" t="n">
        <v>0</v>
      </c>
      <c r="P932" t="n">
        <v>0</v>
      </c>
      <c r="Q932" t="n">
        <v>0</v>
      </c>
      <c r="R932" s="2" t="inlineStr"/>
    </row>
    <row r="933" ht="15" customHeight="1">
      <c r="A933" t="inlineStr">
        <is>
          <t>A 20115-2024</t>
        </is>
      </c>
      <c r="B933" s="1" t="n">
        <v>45434</v>
      </c>
      <c r="C933" s="1" t="n">
        <v>45513</v>
      </c>
      <c r="D933" t="inlineStr">
        <is>
          <t>ÖREBRO LÄN</t>
        </is>
      </c>
      <c r="E933" t="inlineStr">
        <is>
          <t>ÖREBRO</t>
        </is>
      </c>
      <c r="G933" t="n">
        <v>1.7</v>
      </c>
      <c r="H933" t="n">
        <v>0</v>
      </c>
      <c r="I933" t="n">
        <v>0</v>
      </c>
      <c r="J933" t="n">
        <v>0</v>
      </c>
      <c r="K933" t="n">
        <v>0</v>
      </c>
      <c r="L933" t="n">
        <v>0</v>
      </c>
      <c r="M933" t="n">
        <v>0</v>
      </c>
      <c r="N933" t="n">
        <v>0</v>
      </c>
      <c r="O933" t="n">
        <v>0</v>
      </c>
      <c r="P933" t="n">
        <v>0</v>
      </c>
      <c r="Q933" t="n">
        <v>0</v>
      </c>
      <c r="R933" s="2" t="inlineStr"/>
    </row>
    <row r="934" ht="15" customHeight="1">
      <c r="A934" t="inlineStr">
        <is>
          <t>A 20146-2024</t>
        </is>
      </c>
      <c r="B934" s="1" t="n">
        <v>45434</v>
      </c>
      <c r="C934" s="1" t="n">
        <v>45513</v>
      </c>
      <c r="D934" t="inlineStr">
        <is>
          <t>ÖREBRO LÄN</t>
        </is>
      </c>
      <c r="E934" t="inlineStr">
        <is>
          <t>ÖREBRO</t>
        </is>
      </c>
      <c r="G934" t="n">
        <v>0.5</v>
      </c>
      <c r="H934" t="n">
        <v>0</v>
      </c>
      <c r="I934" t="n">
        <v>0</v>
      </c>
      <c r="J934" t="n">
        <v>0</v>
      </c>
      <c r="K934" t="n">
        <v>0</v>
      </c>
      <c r="L934" t="n">
        <v>0</v>
      </c>
      <c r="M934" t="n">
        <v>0</v>
      </c>
      <c r="N934" t="n">
        <v>0</v>
      </c>
      <c r="O934" t="n">
        <v>0</v>
      </c>
      <c r="P934" t="n">
        <v>0</v>
      </c>
      <c r="Q934" t="n">
        <v>0</v>
      </c>
      <c r="R934" s="2" t="inlineStr"/>
    </row>
    <row r="935" ht="15" customHeight="1">
      <c r="A935" t="inlineStr">
        <is>
          <t>A 20150-2024</t>
        </is>
      </c>
      <c r="B935" s="1" t="n">
        <v>45434</v>
      </c>
      <c r="C935" s="1" t="n">
        <v>45513</v>
      </c>
      <c r="D935" t="inlineStr">
        <is>
          <t>ÖREBRO LÄN</t>
        </is>
      </c>
      <c r="E935" t="inlineStr">
        <is>
          <t>ÖREBRO</t>
        </is>
      </c>
      <c r="G935" t="n">
        <v>0.5</v>
      </c>
      <c r="H935" t="n">
        <v>0</v>
      </c>
      <c r="I935" t="n">
        <v>0</v>
      </c>
      <c r="J935" t="n">
        <v>0</v>
      </c>
      <c r="K935" t="n">
        <v>0</v>
      </c>
      <c r="L935" t="n">
        <v>0</v>
      </c>
      <c r="M935" t="n">
        <v>0</v>
      </c>
      <c r="N935" t="n">
        <v>0</v>
      </c>
      <c r="O935" t="n">
        <v>0</v>
      </c>
      <c r="P935" t="n">
        <v>0</v>
      </c>
      <c r="Q935" t="n">
        <v>0</v>
      </c>
      <c r="R935" s="2" t="inlineStr"/>
    </row>
    <row r="936" ht="15" customHeight="1">
      <c r="A936" t="inlineStr">
        <is>
          <t>A 20121-2024</t>
        </is>
      </c>
      <c r="B936" s="1" t="n">
        <v>45434</v>
      </c>
      <c r="C936" s="1" t="n">
        <v>45513</v>
      </c>
      <c r="D936" t="inlineStr">
        <is>
          <t>ÖREBRO LÄN</t>
        </is>
      </c>
      <c r="E936" t="inlineStr">
        <is>
          <t>ÖREBRO</t>
        </is>
      </c>
      <c r="G936" t="n">
        <v>1.8</v>
      </c>
      <c r="H936" t="n">
        <v>0</v>
      </c>
      <c r="I936" t="n">
        <v>0</v>
      </c>
      <c r="J936" t="n">
        <v>0</v>
      </c>
      <c r="K936" t="n">
        <v>0</v>
      </c>
      <c r="L936" t="n">
        <v>0</v>
      </c>
      <c r="M936" t="n">
        <v>0</v>
      </c>
      <c r="N936" t="n">
        <v>0</v>
      </c>
      <c r="O936" t="n">
        <v>0</v>
      </c>
      <c r="P936" t="n">
        <v>0</v>
      </c>
      <c r="Q936" t="n">
        <v>0</v>
      </c>
      <c r="R936" s="2" t="inlineStr"/>
    </row>
    <row r="937" ht="15" customHeight="1">
      <c r="A937" t="inlineStr">
        <is>
          <t>A 20589-2024</t>
        </is>
      </c>
      <c r="B937" s="1" t="n">
        <v>45436</v>
      </c>
      <c r="C937" s="1" t="n">
        <v>45513</v>
      </c>
      <c r="D937" t="inlineStr">
        <is>
          <t>ÖREBRO LÄN</t>
        </is>
      </c>
      <c r="E937" t="inlineStr">
        <is>
          <t>ÖREBRO</t>
        </is>
      </c>
      <c r="G937" t="n">
        <v>3.7</v>
      </c>
      <c r="H937" t="n">
        <v>0</v>
      </c>
      <c r="I937" t="n">
        <v>0</v>
      </c>
      <c r="J937" t="n">
        <v>0</v>
      </c>
      <c r="K937" t="n">
        <v>0</v>
      </c>
      <c r="L937" t="n">
        <v>0</v>
      </c>
      <c r="M937" t="n">
        <v>0</v>
      </c>
      <c r="N937" t="n">
        <v>0</v>
      </c>
      <c r="O937" t="n">
        <v>0</v>
      </c>
      <c r="P937" t="n">
        <v>0</v>
      </c>
      <c r="Q937" t="n">
        <v>0</v>
      </c>
      <c r="R937" s="2" t="inlineStr"/>
    </row>
    <row r="938" ht="15" customHeight="1">
      <c r="A938" t="inlineStr">
        <is>
          <t>A 21052-2024</t>
        </is>
      </c>
      <c r="B938" s="1" t="n">
        <v>45439</v>
      </c>
      <c r="C938" s="1" t="n">
        <v>45513</v>
      </c>
      <c r="D938" t="inlineStr">
        <is>
          <t>ÖREBRO LÄN</t>
        </is>
      </c>
      <c r="E938" t="inlineStr">
        <is>
          <t>ÖREBRO</t>
        </is>
      </c>
      <c r="F938" t="inlineStr">
        <is>
          <t>Övriga Aktiebolag</t>
        </is>
      </c>
      <c r="G938" t="n">
        <v>2.9</v>
      </c>
      <c r="H938" t="n">
        <v>0</v>
      </c>
      <c r="I938" t="n">
        <v>0</v>
      </c>
      <c r="J938" t="n">
        <v>0</v>
      </c>
      <c r="K938" t="n">
        <v>0</v>
      </c>
      <c r="L938" t="n">
        <v>0</v>
      </c>
      <c r="M938" t="n">
        <v>0</v>
      </c>
      <c r="N938" t="n">
        <v>0</v>
      </c>
      <c r="O938" t="n">
        <v>0</v>
      </c>
      <c r="P938" t="n">
        <v>0</v>
      </c>
      <c r="Q938" t="n">
        <v>0</v>
      </c>
      <c r="R938" s="2" t="inlineStr"/>
    </row>
    <row r="939" ht="15" customHeight="1">
      <c r="A939" t="inlineStr">
        <is>
          <t>A 21056-2024</t>
        </is>
      </c>
      <c r="B939" s="1" t="n">
        <v>45439</v>
      </c>
      <c r="C939" s="1" t="n">
        <v>45513</v>
      </c>
      <c r="D939" t="inlineStr">
        <is>
          <t>ÖREBRO LÄN</t>
        </is>
      </c>
      <c r="E939" t="inlineStr">
        <is>
          <t>ÖREBRO</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21036-2024</t>
        </is>
      </c>
      <c r="B940" s="1" t="n">
        <v>45439</v>
      </c>
      <c r="C940" s="1" t="n">
        <v>45513</v>
      </c>
      <c r="D940" t="inlineStr">
        <is>
          <t>ÖREBRO LÄN</t>
        </is>
      </c>
      <c r="E940" t="inlineStr">
        <is>
          <t>ÖREBRO</t>
        </is>
      </c>
      <c r="F940" t="inlineStr">
        <is>
          <t>Övriga Aktiebolag</t>
        </is>
      </c>
      <c r="G940" t="n">
        <v>5.7</v>
      </c>
      <c r="H940" t="n">
        <v>0</v>
      </c>
      <c r="I940" t="n">
        <v>0</v>
      </c>
      <c r="J940" t="n">
        <v>0</v>
      </c>
      <c r="K940" t="n">
        <v>0</v>
      </c>
      <c r="L940" t="n">
        <v>0</v>
      </c>
      <c r="M940" t="n">
        <v>0</v>
      </c>
      <c r="N940" t="n">
        <v>0</v>
      </c>
      <c r="O940" t="n">
        <v>0</v>
      </c>
      <c r="P940" t="n">
        <v>0</v>
      </c>
      <c r="Q940" t="n">
        <v>0</v>
      </c>
      <c r="R940" s="2" t="inlineStr"/>
    </row>
    <row r="941" ht="15" customHeight="1">
      <c r="A941" t="inlineStr">
        <is>
          <t>A 21277-2024</t>
        </is>
      </c>
      <c r="B941" s="1" t="n">
        <v>45440</v>
      </c>
      <c r="C941" s="1" t="n">
        <v>45513</v>
      </c>
      <c r="D941" t="inlineStr">
        <is>
          <t>ÖREBRO LÄN</t>
        </is>
      </c>
      <c r="E941" t="inlineStr">
        <is>
          <t>ÖREBRO</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21306-2024</t>
        </is>
      </c>
      <c r="B942" s="1" t="n">
        <v>45440</v>
      </c>
      <c r="C942" s="1" t="n">
        <v>45513</v>
      </c>
      <c r="D942" t="inlineStr">
        <is>
          <t>ÖREBRO LÄN</t>
        </is>
      </c>
      <c r="E942" t="inlineStr">
        <is>
          <t>ÖREBRO</t>
        </is>
      </c>
      <c r="F942" t="inlineStr">
        <is>
          <t>Övriga Aktiebolag</t>
        </is>
      </c>
      <c r="G942" t="n">
        <v>2</v>
      </c>
      <c r="H942" t="n">
        <v>0</v>
      </c>
      <c r="I942" t="n">
        <v>0</v>
      </c>
      <c r="J942" t="n">
        <v>0</v>
      </c>
      <c r="K942" t="n">
        <v>0</v>
      </c>
      <c r="L942" t="n">
        <v>0</v>
      </c>
      <c r="M942" t="n">
        <v>0</v>
      </c>
      <c r="N942" t="n">
        <v>0</v>
      </c>
      <c r="O942" t="n">
        <v>0</v>
      </c>
      <c r="P942" t="n">
        <v>0</v>
      </c>
      <c r="Q942" t="n">
        <v>0</v>
      </c>
      <c r="R942" s="2" t="inlineStr"/>
    </row>
    <row r="943" ht="15" customHeight="1">
      <c r="A943" t="inlineStr">
        <is>
          <t>A 21422-2024</t>
        </is>
      </c>
      <c r="B943" s="1" t="n">
        <v>45441</v>
      </c>
      <c r="C943" s="1" t="n">
        <v>45513</v>
      </c>
      <c r="D943" t="inlineStr">
        <is>
          <t>ÖREBRO LÄN</t>
        </is>
      </c>
      <c r="E943" t="inlineStr">
        <is>
          <t>ÖREBRO</t>
        </is>
      </c>
      <c r="G943" t="n">
        <v>0.6</v>
      </c>
      <c r="H943" t="n">
        <v>0</v>
      </c>
      <c r="I943" t="n">
        <v>0</v>
      </c>
      <c r="J943" t="n">
        <v>0</v>
      </c>
      <c r="K943" t="n">
        <v>0</v>
      </c>
      <c r="L943" t="n">
        <v>0</v>
      </c>
      <c r="M943" t="n">
        <v>0</v>
      </c>
      <c r="N943" t="n">
        <v>0</v>
      </c>
      <c r="O943" t="n">
        <v>0</v>
      </c>
      <c r="P943" t="n">
        <v>0</v>
      </c>
      <c r="Q943" t="n">
        <v>0</v>
      </c>
      <c r="R943" s="2" t="inlineStr"/>
    </row>
    <row r="944" ht="15" customHeight="1">
      <c r="A944" t="inlineStr">
        <is>
          <t>A 21588-2024</t>
        </is>
      </c>
      <c r="B944" s="1" t="n">
        <v>45441</v>
      </c>
      <c r="C944" s="1" t="n">
        <v>45513</v>
      </c>
      <c r="D944" t="inlineStr">
        <is>
          <t>ÖREBRO LÄN</t>
        </is>
      </c>
      <c r="E944" t="inlineStr">
        <is>
          <t>ÖREBRO</t>
        </is>
      </c>
      <c r="G944" t="n">
        <v>8.1</v>
      </c>
      <c r="H944" t="n">
        <v>0</v>
      </c>
      <c r="I944" t="n">
        <v>0</v>
      </c>
      <c r="J944" t="n">
        <v>0</v>
      </c>
      <c r="K944" t="n">
        <v>0</v>
      </c>
      <c r="L944" t="n">
        <v>0</v>
      </c>
      <c r="M944" t="n">
        <v>0</v>
      </c>
      <c r="N944" t="n">
        <v>0</v>
      </c>
      <c r="O944" t="n">
        <v>0</v>
      </c>
      <c r="P944" t="n">
        <v>0</v>
      </c>
      <c r="Q944" t="n">
        <v>0</v>
      </c>
      <c r="R944" s="2" t="inlineStr"/>
    </row>
    <row r="945" ht="15" customHeight="1">
      <c r="A945" t="inlineStr">
        <is>
          <t>A 21800-2024</t>
        </is>
      </c>
      <c r="B945" s="1" t="n">
        <v>45442</v>
      </c>
      <c r="C945" s="1" t="n">
        <v>45513</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22045-2024</t>
        </is>
      </c>
      <c r="B946" s="1" t="n">
        <v>45443</v>
      </c>
      <c r="C946" s="1" t="n">
        <v>45513</v>
      </c>
      <c r="D946" t="inlineStr">
        <is>
          <t>ÖREBRO LÄN</t>
        </is>
      </c>
      <c r="E946" t="inlineStr">
        <is>
          <t>ÖREBRO</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22061-2024</t>
        </is>
      </c>
      <c r="B947" s="1" t="n">
        <v>45443</v>
      </c>
      <c r="C947" s="1" t="n">
        <v>45513</v>
      </c>
      <c r="D947" t="inlineStr">
        <is>
          <t>ÖREBRO LÄN</t>
        </is>
      </c>
      <c r="E947" t="inlineStr">
        <is>
          <t>ÖREBRO</t>
        </is>
      </c>
      <c r="G947" t="n">
        <v>3.5</v>
      </c>
      <c r="H947" t="n">
        <v>0</v>
      </c>
      <c r="I947" t="n">
        <v>0</v>
      </c>
      <c r="J947" t="n">
        <v>0</v>
      </c>
      <c r="K947" t="n">
        <v>0</v>
      </c>
      <c r="L947" t="n">
        <v>0</v>
      </c>
      <c r="M947" t="n">
        <v>0</v>
      </c>
      <c r="N947" t="n">
        <v>0</v>
      </c>
      <c r="O947" t="n">
        <v>0</v>
      </c>
      <c r="P947" t="n">
        <v>0</v>
      </c>
      <c r="Q947" t="n">
        <v>0</v>
      </c>
      <c r="R947" s="2" t="inlineStr"/>
    </row>
    <row r="948" ht="15" customHeight="1">
      <c r="A948" t="inlineStr">
        <is>
          <t>A 22351-2024</t>
        </is>
      </c>
      <c r="B948" s="1" t="n">
        <v>45446</v>
      </c>
      <c r="C948" s="1" t="n">
        <v>45513</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22348-2024</t>
        </is>
      </c>
      <c r="B949" s="1" t="n">
        <v>45446</v>
      </c>
      <c r="C949" s="1" t="n">
        <v>45513</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22510-2024</t>
        </is>
      </c>
      <c r="B950" s="1" t="n">
        <v>45447</v>
      </c>
      <c r="C950" s="1" t="n">
        <v>45513</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22577-2024</t>
        </is>
      </c>
      <c r="B951" s="1" t="n">
        <v>45447</v>
      </c>
      <c r="C951" s="1" t="n">
        <v>45513</v>
      </c>
      <c r="D951" t="inlineStr">
        <is>
          <t>ÖREBRO LÄN</t>
        </is>
      </c>
      <c r="E951" t="inlineStr">
        <is>
          <t>ÖREBRO</t>
        </is>
      </c>
      <c r="G951" t="n">
        <v>1.8</v>
      </c>
      <c r="H951" t="n">
        <v>0</v>
      </c>
      <c r="I951" t="n">
        <v>0</v>
      </c>
      <c r="J951" t="n">
        <v>0</v>
      </c>
      <c r="K951" t="n">
        <v>0</v>
      </c>
      <c r="L951" t="n">
        <v>0</v>
      </c>
      <c r="M951" t="n">
        <v>0</v>
      </c>
      <c r="N951" t="n">
        <v>0</v>
      </c>
      <c r="O951" t="n">
        <v>0</v>
      </c>
      <c r="P951" t="n">
        <v>0</v>
      </c>
      <c r="Q951" t="n">
        <v>0</v>
      </c>
      <c r="R951" s="2" t="inlineStr"/>
    </row>
    <row r="952" ht="15" customHeight="1">
      <c r="A952" t="inlineStr">
        <is>
          <t>A 22557-2024</t>
        </is>
      </c>
      <c r="B952" s="1" t="n">
        <v>45447</v>
      </c>
      <c r="C952" s="1" t="n">
        <v>45513</v>
      </c>
      <c r="D952" t="inlineStr">
        <is>
          <t>ÖREBRO LÄN</t>
        </is>
      </c>
      <c r="E952" t="inlineStr">
        <is>
          <t>ÖREBRO</t>
        </is>
      </c>
      <c r="G952" t="n">
        <v>3.4</v>
      </c>
      <c r="H952" t="n">
        <v>0</v>
      </c>
      <c r="I952" t="n">
        <v>0</v>
      </c>
      <c r="J952" t="n">
        <v>0</v>
      </c>
      <c r="K952" t="n">
        <v>0</v>
      </c>
      <c r="L952" t="n">
        <v>0</v>
      </c>
      <c r="M952" t="n">
        <v>0</v>
      </c>
      <c r="N952" t="n">
        <v>0</v>
      </c>
      <c r="O952" t="n">
        <v>0</v>
      </c>
      <c r="P952" t="n">
        <v>0</v>
      </c>
      <c r="Q952" t="n">
        <v>0</v>
      </c>
      <c r="R952" s="2" t="inlineStr"/>
    </row>
    <row r="953" ht="15" customHeight="1">
      <c r="A953" t="inlineStr">
        <is>
          <t>A 22803-2024</t>
        </is>
      </c>
      <c r="B953" s="1" t="n">
        <v>45448</v>
      </c>
      <c r="C953" s="1" t="n">
        <v>45513</v>
      </c>
      <c r="D953" t="inlineStr">
        <is>
          <t>ÖREBRO LÄN</t>
        </is>
      </c>
      <c r="E953" t="inlineStr">
        <is>
          <t>ÖREBRO</t>
        </is>
      </c>
      <c r="G953" t="n">
        <v>3.1</v>
      </c>
      <c r="H953" t="n">
        <v>0</v>
      </c>
      <c r="I953" t="n">
        <v>0</v>
      </c>
      <c r="J953" t="n">
        <v>0</v>
      </c>
      <c r="K953" t="n">
        <v>0</v>
      </c>
      <c r="L953" t="n">
        <v>0</v>
      </c>
      <c r="M953" t="n">
        <v>0</v>
      </c>
      <c r="N953" t="n">
        <v>0</v>
      </c>
      <c r="O953" t="n">
        <v>0</v>
      </c>
      <c r="P953" t="n">
        <v>0</v>
      </c>
      <c r="Q953" t="n">
        <v>0</v>
      </c>
      <c r="R953" s="2" t="inlineStr"/>
    </row>
    <row r="954" ht="15" customHeight="1">
      <c r="A954" t="inlineStr">
        <is>
          <t>A 25183-2024</t>
        </is>
      </c>
      <c r="B954" s="1" t="n">
        <v>45462</v>
      </c>
      <c r="C954" s="1" t="n">
        <v>45513</v>
      </c>
      <c r="D954" t="inlineStr">
        <is>
          <t>ÖREBRO LÄN</t>
        </is>
      </c>
      <c r="E954" t="inlineStr">
        <is>
          <t>ÖREBRO</t>
        </is>
      </c>
      <c r="F954" t="inlineStr">
        <is>
          <t>Sveaskog</t>
        </is>
      </c>
      <c r="G954" t="n">
        <v>2.2</v>
      </c>
      <c r="H954" t="n">
        <v>0</v>
      </c>
      <c r="I954" t="n">
        <v>0</v>
      </c>
      <c r="J954" t="n">
        <v>0</v>
      </c>
      <c r="K954" t="n">
        <v>0</v>
      </c>
      <c r="L954" t="n">
        <v>0</v>
      </c>
      <c r="M954" t="n">
        <v>0</v>
      </c>
      <c r="N954" t="n">
        <v>0</v>
      </c>
      <c r="O954" t="n">
        <v>0</v>
      </c>
      <c r="P954" t="n">
        <v>0</v>
      </c>
      <c r="Q954" t="n">
        <v>0</v>
      </c>
      <c r="R954" s="2" t="inlineStr"/>
    </row>
    <row r="955" ht="15" customHeight="1">
      <c r="A955" t="inlineStr">
        <is>
          <t>A 25996-2024</t>
        </is>
      </c>
      <c r="B955" s="1" t="n">
        <v>45467</v>
      </c>
      <c r="C955" s="1" t="n">
        <v>45513</v>
      </c>
      <c r="D955" t="inlineStr">
        <is>
          <t>ÖREBRO LÄN</t>
        </is>
      </c>
      <c r="E955" t="inlineStr">
        <is>
          <t>ÖREBRO</t>
        </is>
      </c>
      <c r="G955" t="n">
        <v>4.7</v>
      </c>
      <c r="H955" t="n">
        <v>0</v>
      </c>
      <c r="I955" t="n">
        <v>0</v>
      </c>
      <c r="J955" t="n">
        <v>0</v>
      </c>
      <c r="K955" t="n">
        <v>0</v>
      </c>
      <c r="L955" t="n">
        <v>0</v>
      </c>
      <c r="M955" t="n">
        <v>0</v>
      </c>
      <c r="N955" t="n">
        <v>0</v>
      </c>
      <c r="O955" t="n">
        <v>0</v>
      </c>
      <c r="P955" t="n">
        <v>0</v>
      </c>
      <c r="Q955" t="n">
        <v>0</v>
      </c>
      <c r="R955" s="2" t="inlineStr"/>
    </row>
    <row r="956" ht="15" customHeight="1">
      <c r="A956" t="inlineStr">
        <is>
          <t>A 26443-2024</t>
        </is>
      </c>
      <c r="B956" s="1" t="n">
        <v>45469</v>
      </c>
      <c r="C956" s="1" t="n">
        <v>45513</v>
      </c>
      <c r="D956" t="inlineStr">
        <is>
          <t>ÖREBRO LÄN</t>
        </is>
      </c>
      <c r="E956" t="inlineStr">
        <is>
          <t>ÖREBRO</t>
        </is>
      </c>
      <c r="G956" t="n">
        <v>5.7</v>
      </c>
      <c r="H956" t="n">
        <v>0</v>
      </c>
      <c r="I956" t="n">
        <v>0</v>
      </c>
      <c r="J956" t="n">
        <v>0</v>
      </c>
      <c r="K956" t="n">
        <v>0</v>
      </c>
      <c r="L956" t="n">
        <v>0</v>
      </c>
      <c r="M956" t="n">
        <v>0</v>
      </c>
      <c r="N956" t="n">
        <v>0</v>
      </c>
      <c r="O956" t="n">
        <v>0</v>
      </c>
      <c r="P956" t="n">
        <v>0</v>
      </c>
      <c r="Q956" t="n">
        <v>0</v>
      </c>
      <c r="R956" s="2" t="inlineStr"/>
    </row>
    <row r="957" ht="15" customHeight="1">
      <c r="A957" t="inlineStr">
        <is>
          <t>A 26858-2024</t>
        </is>
      </c>
      <c r="B957" s="1" t="n">
        <v>45470</v>
      </c>
      <c r="C957" s="1" t="n">
        <v>45513</v>
      </c>
      <c r="D957" t="inlineStr">
        <is>
          <t>ÖREBRO LÄN</t>
        </is>
      </c>
      <c r="E957" t="inlineStr">
        <is>
          <t>ÖREBRO</t>
        </is>
      </c>
      <c r="G957" t="n">
        <v>2.3</v>
      </c>
      <c r="H957" t="n">
        <v>0</v>
      </c>
      <c r="I957" t="n">
        <v>0</v>
      </c>
      <c r="J957" t="n">
        <v>0</v>
      </c>
      <c r="K957" t="n">
        <v>0</v>
      </c>
      <c r="L957" t="n">
        <v>0</v>
      </c>
      <c r="M957" t="n">
        <v>0</v>
      </c>
      <c r="N957" t="n">
        <v>0</v>
      </c>
      <c r="O957" t="n">
        <v>0</v>
      </c>
      <c r="P957" t="n">
        <v>0</v>
      </c>
      <c r="Q957" t="n">
        <v>0</v>
      </c>
      <c r="R957" s="2" t="inlineStr"/>
    </row>
    <row r="958" ht="15" customHeight="1">
      <c r="A958" t="inlineStr">
        <is>
          <t>A 26817-2024</t>
        </is>
      </c>
      <c r="B958" s="1" t="n">
        <v>45470</v>
      </c>
      <c r="C958" s="1" t="n">
        <v>45513</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29086-2024</t>
        </is>
      </c>
      <c r="B959" s="1" t="n">
        <v>45482</v>
      </c>
      <c r="C959" s="1" t="n">
        <v>45513</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29352-2024</t>
        </is>
      </c>
      <c r="B960" s="1" t="n">
        <v>45483</v>
      </c>
      <c r="C960" s="1" t="n">
        <v>45513</v>
      </c>
      <c r="D960" t="inlineStr">
        <is>
          <t>ÖREBRO LÄN</t>
        </is>
      </c>
      <c r="E960" t="inlineStr">
        <is>
          <t>ÖREBRO</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30089-2024</t>
        </is>
      </c>
      <c r="B961" s="1" t="n">
        <v>45485</v>
      </c>
      <c r="C961" s="1" t="n">
        <v>45513</v>
      </c>
      <c r="D961" t="inlineStr">
        <is>
          <t>ÖREBRO LÄN</t>
        </is>
      </c>
      <c r="E961" t="inlineStr">
        <is>
          <t>ÖREBRO</t>
        </is>
      </c>
      <c r="G961" t="n">
        <v>2.2</v>
      </c>
      <c r="H961" t="n">
        <v>0</v>
      </c>
      <c r="I961" t="n">
        <v>0</v>
      </c>
      <c r="J961" t="n">
        <v>0</v>
      </c>
      <c r="K961" t="n">
        <v>0</v>
      </c>
      <c r="L961" t="n">
        <v>0</v>
      </c>
      <c r="M961" t="n">
        <v>0</v>
      </c>
      <c r="N961" t="n">
        <v>0</v>
      </c>
      <c r="O961" t="n">
        <v>0</v>
      </c>
      <c r="P961" t="n">
        <v>0</v>
      </c>
      <c r="Q961" t="n">
        <v>0</v>
      </c>
      <c r="R961" s="2" t="inlineStr"/>
    </row>
    <row r="962" ht="15" customHeight="1">
      <c r="A962" t="inlineStr">
        <is>
          <t>A 29978-2024</t>
        </is>
      </c>
      <c r="B962" s="1" t="n">
        <v>45488</v>
      </c>
      <c r="C962" s="1" t="n">
        <v>45513</v>
      </c>
      <c r="D962" t="inlineStr">
        <is>
          <t>ÖREBRO LÄN</t>
        </is>
      </c>
      <c r="E962" t="inlineStr">
        <is>
          <t>ÖREBRO</t>
        </is>
      </c>
      <c r="G962" t="n">
        <v>1.8</v>
      </c>
      <c r="H962" t="n">
        <v>0</v>
      </c>
      <c r="I962" t="n">
        <v>0</v>
      </c>
      <c r="J962" t="n">
        <v>0</v>
      </c>
      <c r="K962" t="n">
        <v>0</v>
      </c>
      <c r="L962" t="n">
        <v>0</v>
      </c>
      <c r="M962" t="n">
        <v>0</v>
      </c>
      <c r="N962" t="n">
        <v>0</v>
      </c>
      <c r="O962" t="n">
        <v>0</v>
      </c>
      <c r="P962" t="n">
        <v>0</v>
      </c>
      <c r="Q962" t="n">
        <v>0</v>
      </c>
      <c r="R962" s="2" t="inlineStr"/>
    </row>
    <row r="963" ht="15" customHeight="1">
      <c r="A963" t="inlineStr">
        <is>
          <t>A 30316-2024</t>
        </is>
      </c>
      <c r="B963" s="1" t="n">
        <v>45490</v>
      </c>
      <c r="C963" s="1" t="n">
        <v>45513</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30903-2024</t>
        </is>
      </c>
      <c r="B964" s="1" t="n">
        <v>45498</v>
      </c>
      <c r="C964" s="1" t="n">
        <v>45513</v>
      </c>
      <c r="D964" t="inlineStr">
        <is>
          <t>ÖREBRO LÄN</t>
        </is>
      </c>
      <c r="E964" t="inlineStr">
        <is>
          <t>ÖREBRO</t>
        </is>
      </c>
      <c r="G964" t="n">
        <v>1.1</v>
      </c>
      <c r="H964" t="n">
        <v>0</v>
      </c>
      <c r="I964" t="n">
        <v>0</v>
      </c>
      <c r="J964" t="n">
        <v>0</v>
      </c>
      <c r="K964" t="n">
        <v>0</v>
      </c>
      <c r="L964" t="n">
        <v>0</v>
      </c>
      <c r="M964" t="n">
        <v>0</v>
      </c>
      <c r="N964" t="n">
        <v>0</v>
      </c>
      <c r="O964" t="n">
        <v>0</v>
      </c>
      <c r="P964" t="n">
        <v>0</v>
      </c>
      <c r="Q964" t="n">
        <v>0</v>
      </c>
      <c r="R964" s="2" t="inlineStr"/>
    </row>
    <row r="965" ht="15" customHeight="1">
      <c r="A965" t="inlineStr">
        <is>
          <t>A 31074-2024</t>
        </is>
      </c>
      <c r="B965" s="1" t="n">
        <v>45502</v>
      </c>
      <c r="C965" s="1" t="n">
        <v>45513</v>
      </c>
      <c r="D965" t="inlineStr">
        <is>
          <t>ÖREBRO LÄN</t>
        </is>
      </c>
      <c r="E965" t="inlineStr">
        <is>
          <t>ÖREBRO</t>
        </is>
      </c>
      <c r="G965" t="n">
        <v>4</v>
      </c>
      <c r="H965" t="n">
        <v>0</v>
      </c>
      <c r="I965" t="n">
        <v>0</v>
      </c>
      <c r="J965" t="n">
        <v>0</v>
      </c>
      <c r="K965" t="n">
        <v>0</v>
      </c>
      <c r="L965" t="n">
        <v>0</v>
      </c>
      <c r="M965" t="n">
        <v>0</v>
      </c>
      <c r="N965" t="n">
        <v>0</v>
      </c>
      <c r="O965" t="n">
        <v>0</v>
      </c>
      <c r="P965" t="n">
        <v>0</v>
      </c>
      <c r="Q965" t="n">
        <v>0</v>
      </c>
      <c r="R965" s="2" t="inlineStr"/>
    </row>
    <row r="966" ht="15" customHeight="1">
      <c r="A966" t="inlineStr">
        <is>
          <t>A 31326-2024</t>
        </is>
      </c>
      <c r="B966" s="1" t="n">
        <v>45504</v>
      </c>
      <c r="C966" s="1" t="n">
        <v>45513</v>
      </c>
      <c r="D966" t="inlineStr">
        <is>
          <t>ÖREBRO LÄN</t>
        </is>
      </c>
      <c r="E966" t="inlineStr">
        <is>
          <t>ÖREBRO</t>
        </is>
      </c>
      <c r="G966" t="n">
        <v>6.4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45513</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31992-2024</t>
        </is>
      </c>
      <c r="B968" s="1" t="n">
        <v>45510</v>
      </c>
      <c r="C968" s="1" t="n">
        <v>45513</v>
      </c>
      <c r="D968" t="inlineStr">
        <is>
          <t>ÖREBRO LÄN</t>
        </is>
      </c>
      <c r="E968" t="inlineStr">
        <is>
          <t>ÖREBRO</t>
        </is>
      </c>
      <c r="G968" t="n">
        <v>1</v>
      </c>
      <c r="H968" t="n">
        <v>0</v>
      </c>
      <c r="I968" t="n">
        <v>0</v>
      </c>
      <c r="J968" t="n">
        <v>0</v>
      </c>
      <c r="K968" t="n">
        <v>0</v>
      </c>
      <c r="L968" t="n">
        <v>0</v>
      </c>
      <c r="M968" t="n">
        <v>0</v>
      </c>
      <c r="N968" t="n">
        <v>0</v>
      </c>
      <c r="O968" t="n">
        <v>0</v>
      </c>
      <c r="P968" t="n">
        <v>0</v>
      </c>
      <c r="Q968" t="n">
        <v>0</v>
      </c>
      <c r="R968" s="2" t="inlineStr"/>
    </row>
    <row r="969" ht="15" customHeight="1">
      <c r="A969" t="inlineStr">
        <is>
          <t>A 31990-2024</t>
        </is>
      </c>
      <c r="B969" s="1" t="n">
        <v>45510</v>
      </c>
      <c r="C969" s="1" t="n">
        <v>45513</v>
      </c>
      <c r="D969" t="inlineStr">
        <is>
          <t>ÖREBRO LÄN</t>
        </is>
      </c>
      <c r="E969" t="inlineStr">
        <is>
          <t>ÖREBRO</t>
        </is>
      </c>
      <c r="G969" t="n">
        <v>3.2</v>
      </c>
      <c r="H969" t="n">
        <v>0</v>
      </c>
      <c r="I969" t="n">
        <v>0</v>
      </c>
      <c r="J969" t="n">
        <v>0</v>
      </c>
      <c r="K969" t="n">
        <v>0</v>
      </c>
      <c r="L969" t="n">
        <v>0</v>
      </c>
      <c r="M969" t="n">
        <v>0</v>
      </c>
      <c r="N969" t="n">
        <v>0</v>
      </c>
      <c r="O969" t="n">
        <v>0</v>
      </c>
      <c r="P969" t="n">
        <v>0</v>
      </c>
      <c r="Q969" t="n">
        <v>0</v>
      </c>
      <c r="R969" s="2" t="inlineStr"/>
    </row>
    <row r="970">
      <c r="A970" t="inlineStr">
        <is>
          <t>A 32025-2024</t>
        </is>
      </c>
      <c r="B970" s="1" t="n">
        <v>45510</v>
      </c>
      <c r="C970" s="1" t="n">
        <v>45513</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2024-08-09T10:44:59Z</dcterms:created>
  <dcterms:modified xmlns:dcterms="http://purl.org/dc/terms/" xmlns:xsi="http://www.w3.org/2001/XMLSchema-instance" xsi:type="dcterms:W3CDTF">2024-08-09T10:45:00Z</dcterms:modified>
</cp:coreProperties>
</file>